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7F8476E5-DD6E-4562-9680-E880817D8A7D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Budget vs Actual" sheetId="1" r:id="rId1"/>
    <sheet name="Rolling Forecast" sheetId="2" r:id="rId2"/>
    <sheet name="Business Case - Expansion" sheetId="3" r:id="rId3"/>
    <sheet name="Business Case - 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4" l="1"/>
  <c r="B11" i="4" s="1"/>
  <c r="B7" i="4"/>
  <c r="B6" i="4"/>
  <c r="B5" i="4"/>
  <c r="B4" i="4"/>
  <c r="B13" i="3"/>
  <c r="B11" i="3"/>
  <c r="B10" i="3"/>
  <c r="B9" i="3"/>
  <c r="B9" i="2"/>
  <c r="G9" i="1"/>
  <c r="I13" i="1"/>
  <c r="I9" i="1"/>
  <c r="I10" i="1"/>
  <c r="B8" i="2"/>
  <c r="B6" i="2"/>
  <c r="B7" i="2"/>
  <c r="B5" i="2"/>
  <c r="B16" i="1"/>
  <c r="G16" i="1"/>
  <c r="G17" i="1"/>
  <c r="G18" i="1"/>
  <c r="G15" i="1"/>
  <c r="G10" i="1"/>
  <c r="G11" i="1"/>
  <c r="G12" i="1"/>
  <c r="G13" i="1"/>
  <c r="G14" i="1"/>
  <c r="B7" i="1"/>
  <c r="B6" i="1"/>
  <c r="B5" i="1"/>
  <c r="B8" i="1"/>
  <c r="D15" i="4" l="1"/>
  <c r="D14" i="4"/>
  <c r="D13" i="4"/>
  <c r="D12" i="4"/>
  <c r="D11" i="4"/>
  <c r="B12" i="4"/>
  <c r="C11" i="4"/>
  <c r="E11" i="4" s="1"/>
  <c r="B11" i="2"/>
  <c r="B12" i="2" s="1"/>
  <c r="E9" i="2"/>
  <c r="D9" i="2"/>
  <c r="C9" i="2"/>
  <c r="E5" i="2"/>
  <c r="D5" i="2"/>
  <c r="C5" i="2"/>
  <c r="E8" i="1"/>
  <c r="D8" i="1"/>
  <c r="B18" i="1"/>
  <c r="B9" i="1"/>
  <c r="B10" i="1"/>
  <c r="B11" i="1"/>
  <c r="B12" i="1"/>
  <c r="B13" i="1"/>
  <c r="B14" i="1"/>
  <c r="B15" i="1"/>
  <c r="E5" i="1"/>
  <c r="D5" i="1"/>
  <c r="E6" i="1"/>
  <c r="D6" i="1"/>
  <c r="E7" i="1"/>
  <c r="D7" i="1"/>
  <c r="E16" i="1"/>
  <c r="D16" i="1"/>
  <c r="B13" i="4" l="1"/>
  <c r="C12" i="4"/>
  <c r="E12" i="4" s="1"/>
  <c r="C8" i="2"/>
  <c r="C6" i="2"/>
  <c r="C7" i="2"/>
  <c r="D8" i="2"/>
  <c r="D6" i="2"/>
  <c r="D7" i="2"/>
  <c r="E8" i="2"/>
  <c r="E6" i="2"/>
  <c r="E7" i="2"/>
  <c r="E15" i="1"/>
  <c r="D15" i="1"/>
  <c r="B17" i="1"/>
  <c r="E14" i="1"/>
  <c r="D14" i="1"/>
  <c r="E13" i="1"/>
  <c r="D13" i="1"/>
  <c r="E12" i="1"/>
  <c r="D12" i="1"/>
  <c r="E11" i="1"/>
  <c r="D11" i="1"/>
  <c r="E10" i="1"/>
  <c r="D10" i="1"/>
  <c r="E9" i="1"/>
  <c r="D9" i="1"/>
  <c r="E18" i="1"/>
  <c r="D18" i="1"/>
  <c r="C13" i="4" l="1"/>
  <c r="E13" i="4" s="1"/>
  <c r="B14" i="4"/>
  <c r="E11" i="2"/>
  <c r="D11" i="2"/>
  <c r="C11" i="2"/>
  <c r="E12" i="2"/>
  <c r="D12" i="2"/>
  <c r="C12" i="2"/>
  <c r="E17" i="1"/>
  <c r="D17" i="1"/>
  <c r="C14" i="4" l="1"/>
  <c r="E14" i="4" s="1"/>
  <c r="B15" i="4"/>
  <c r="C15" i="4" s="1"/>
  <c r="E15" i="4" s="1"/>
  <c r="B17" i="4"/>
</calcChain>
</file>

<file path=xl/sharedStrings.xml><?xml version="1.0" encoding="utf-8"?>
<sst xmlns="http://schemas.openxmlformats.org/spreadsheetml/2006/main" count="110" uniqueCount="99">
  <si>
    <t>Starbucks FY2024 Budget vs Actual Variance Analysis</t>
  </si>
  <si>
    <t>Fiscal Year Ended September 29, 2024 ($ in millions)</t>
  </si>
  <si>
    <t>FY2023</t>
  </si>
  <si>
    <t>FY2024</t>
  </si>
  <si>
    <t>Line Item</t>
  </si>
  <si>
    <t>Budget (FY2024)</t>
  </si>
  <si>
    <t>Actual (FY2024)</t>
  </si>
  <si>
    <t>Variance ($)</t>
  </si>
  <si>
    <t>Variance (%)</t>
  </si>
  <si>
    <t>FY2023 Actual</t>
  </si>
  <si>
    <t>% of Revenue</t>
  </si>
  <si>
    <t>Company-operated stores revenue</t>
  </si>
  <si>
    <t>Licensed stores revenue</t>
  </si>
  <si>
    <t>Other revenue</t>
  </si>
  <si>
    <t>Total net revenues</t>
  </si>
  <si>
    <t>Product and distribution costs</t>
  </si>
  <si>
    <t>Store operating expenses</t>
  </si>
  <si>
    <t>Other operating expenses</t>
  </si>
  <si>
    <t>Depreciation and amortization</t>
  </si>
  <si>
    <t>General and administrative expenses</t>
  </si>
  <si>
    <t>Restructuring and impairments</t>
  </si>
  <si>
    <t>Total operating expenses</t>
  </si>
  <si>
    <t>Income from equity investees</t>
  </si>
  <si>
    <t>Operating income</t>
  </si>
  <si>
    <t>Net earnings (Net income)</t>
  </si>
  <si>
    <r>
      <t>Key Assumptions</t>
    </r>
    <r>
      <rPr>
        <sz val="20"/>
        <color rgb="FF000000"/>
        <rFont val="Calibri Light"/>
        <scheme val="major"/>
      </rPr>
      <t xml:space="preserve"> 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</si>
  <si>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Revenue growth</t>
    </r>
    <r>
      <rPr>
        <sz val="11"/>
        <color rgb="FF000000"/>
        <rFont val="Calibri"/>
        <scheme val="minor"/>
      </rPr>
      <t>: 6% assumed across all revenue lines (Company-operated, Licensed, Other), based on recent historical growth trends</t>
    </r>
  </si>
  <si>
    <r>
      <rPr>
        <sz val="11"/>
        <color rgb="FF000000"/>
        <rFont val="Calibri"/>
        <scheme val="minor"/>
      </rPr>
      <t>•</t>
    </r>
    <r>
      <rPr>
        <i/>
        <sz val="11"/>
        <color rgb="FF000000"/>
        <rFont val="Calibri"/>
        <scheme val="minor"/>
      </rPr>
      <t xml:space="preserve"> Cost line items:</t>
    </r>
    <r>
      <rPr>
        <sz val="11"/>
        <color rgb="FF000000"/>
        <rFont val="Calibri"/>
        <scheme val="minor"/>
      </rPr>
      <t xml:space="preserve"> budgeted as % of FY2023 revenue (e.g., Product &amp; distribution costs at 31.7%, Store operating expenses at 40.9%, G&amp;A at 6.8%), assuming a similar cost structure would hold into FY2024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</si>
  <si>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Net earnings:</t>
    </r>
    <r>
      <rPr>
        <sz val="11"/>
        <color rgb="FF000000"/>
        <rFont val="Calibri"/>
        <scheme val="minor"/>
      </rPr>
      <t xml:space="preserve"> assumed at FY2023's net margin of 11.47% of revenue, for simplicity (a full model would build this up from operating income minus modeled interest and tax)</t>
    </r>
  </si>
  <si>
    <t>Key Variance Drivers</t>
  </si>
  <si>
    <t>• Revenue missed budget by 5.1%, as actual growth (0.6% YoY) came in well below the 6% assumed — reflecting softer same-store sales and traffic than planned</t>
  </si>
  <si>
    <t>• Store operating expenses grew ~3.8% YoY in dollar terms and rose from 40.9% to 42.3% of revenue — a real cost overrun, even though it shows as "favorable" in dollar variance terms</t>
  </si>
  <si>
    <t>• Restructuring and impairment costs came in at zero vs. a small budgeted amount — a minor favorable variance with no material impact</t>
  </si>
  <si>
    <t>• Overall, both operating income (-11.7%) and net earnings (-14.0%) missed budget by a wider margin than revenue did — showing the shortfall was driven more by cost growth outpacing revenue than by the revenue miss alone</t>
  </si>
  <si>
    <t>Starbucks FY2025 Rolling Forecast — Base, Upside &amp; Downside Scenarios</t>
  </si>
  <si>
    <t>Fiscal Year 2025 Forecast ($ in millions)</t>
  </si>
  <si>
    <t>FY2024 Actual (Base)</t>
  </si>
  <si>
    <t>Base Case</t>
  </si>
  <si>
    <t>Upside Case</t>
  </si>
  <si>
    <t>Downside Case</t>
  </si>
  <si>
    <t>Total Net Revenues</t>
  </si>
  <si>
    <t>Product &amp; Distribution Cost</t>
  </si>
  <si>
    <t>Store Operating Expenses</t>
  </si>
  <si>
    <t>General &amp; Administration Expenses</t>
  </si>
  <si>
    <t>Depreciation &amp; amortization</t>
  </si>
  <si>
    <t>Restructuring &amp; Impairment</t>
  </si>
  <si>
    <t>Total Operating Expenses</t>
  </si>
  <si>
    <t>SOE</t>
  </si>
  <si>
    <t>P&amp;D</t>
  </si>
  <si>
    <t>G&amp;A</t>
  </si>
  <si>
    <t>Growth Rate</t>
  </si>
  <si>
    <t>Key Assumptions</t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</si>
  <si>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Revenue growth</t>
    </r>
    <r>
      <rPr>
        <sz val="11"/>
        <color rgb="FF000000"/>
        <rFont val="Calibri"/>
        <scheme val="minor"/>
      </rPr>
      <t>: Base Case assumes 3% growth (a recovery from FY2024's 0.6% actual growth, but below the originally budgeted 6%); Upside assumes 6% growth if sales trends improve; Downside assumes -1% if soft demand persists</t>
    </r>
  </si>
  <si>
    <t>• Cost assumptions reflect the upward cost pressure identified in the FY2024 variance analysis — Store operating expenses are held at 41-43% of revenue (vs. 40.9% in FY2023), Product &amp; distribution costs at 30-32%, and G&amp;A at 6.5-7.5%, varying by scenario</t>
  </si>
  <si>
    <t>• Depreciation &amp; amortization is grown modestly (2-5%) to reflect continued capital investment; Restructuring is assumed at zero except in the Downside case, where $50M is modeled for potential cost-cutting actions</t>
  </si>
  <si>
    <t>• Income from equity investees is excluded from this forecast for simplicity, given its immaterial size (~1% of revenue)</t>
  </si>
  <si>
    <r>
      <t>Key Insight — Linking to Prior Variance Analysis</t>
    </r>
    <r>
      <rPr>
        <sz val="20"/>
        <color rgb="FF000000"/>
        <rFont val="Calibri Light"/>
        <scheme val="major"/>
      </rPr>
      <t xml:space="preserve"> </t>
    </r>
  </si>
  <si>
    <t>• The FY2024 variance analysis showed that cost growth (particularly Store operating expenses) outpaced revenue growth, causing operating income to miss budget by a wider margin than revenue did</t>
  </si>
  <si>
    <t>• This forecast builds on that finding by assuming elevated cost ratios continue into FY2025 rather than reverting to FY2023 levels — even in the Base Case, costs remain above FY2023's historical average</t>
  </si>
  <si>
    <t>• As a result, even under the Upside Case (6% revenue growth), operating income margin improvement is modest, reflecting the structural cost pressure identified in the prior analysis</t>
  </si>
  <si>
    <t>Should Starbucks Open 50 New Stores? — ROI &amp; Payback Analysis</t>
  </si>
  <si>
    <t>Business case evaluating a new store expansion initiative</t>
  </si>
  <si>
    <t>Number of New Stores</t>
  </si>
  <si>
    <t>Investment per Store</t>
  </si>
  <si>
    <t>Year 1 Revenue per Store</t>
  </si>
  <si>
    <t>Store-Level Operating Margin</t>
  </si>
  <si>
    <t>Total Initial Investment</t>
  </si>
  <si>
    <t>Total Year 1 Revenue</t>
  </si>
  <si>
    <t>Total Year 1 Operating Profit</t>
  </si>
  <si>
    <t>Payback Period (Year)</t>
  </si>
  <si>
    <t>Annual Revenue Growth (as stores mature)</t>
  </si>
  <si>
    <t>Discount Rate (for NPV)</t>
  </si>
  <si>
    <t>5-Year Projection &amp; NPV Analysis</t>
  </si>
  <si>
    <t>Linked to Business Case - Expansion assumptions</t>
  </si>
  <si>
    <t>Store Level Operating Margin</t>
  </si>
  <si>
    <t>Annual Revenue Growth</t>
  </si>
  <si>
    <t>Discount Rate</t>
  </si>
  <si>
    <t>Year 1 Revenue</t>
  </si>
  <si>
    <t xml:space="preserve">Year </t>
  </si>
  <si>
    <t>Revenue</t>
  </si>
  <si>
    <t>Operating Profit</t>
  </si>
  <si>
    <t>Discount Factor</t>
  </si>
  <si>
    <t>Present Value of Profit</t>
  </si>
  <si>
    <t>Year 1</t>
  </si>
  <si>
    <t>Year 2</t>
  </si>
  <si>
    <t>Year 3</t>
  </si>
  <si>
    <t>Year 4</t>
  </si>
  <si>
    <t>Year 5</t>
  </si>
  <si>
    <t>NPV (5-Year)</t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</si>
  <si>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Expansion scenario:</t>
    </r>
    <r>
      <rPr>
        <sz val="11"/>
        <color rgb="FF000000"/>
        <rFont val="Calibri"/>
        <scheme val="minor"/>
      </rPr>
      <t xml:space="preserve"> 50 new company-operated stores</t>
    </r>
  </si>
  <si>
    <r>
      <rPr>
        <sz val="11"/>
        <color rgb="FF000000"/>
        <rFont val="Calibri"/>
        <scheme val="minor"/>
      </rPr>
      <t>•</t>
    </r>
    <r>
      <rPr>
        <i/>
        <sz val="11"/>
        <color rgb="FF000000"/>
        <rFont val="Calibri"/>
        <scheme val="minor"/>
      </rPr>
      <t xml:space="preserve"> Initial investment ($500K/store) and Year 1 revenue ($1.2M/store)</t>
    </r>
    <r>
      <rPr>
        <sz val="11"/>
        <color rgb="FF000000"/>
        <rFont val="Calibri"/>
        <scheme val="minor"/>
      </rPr>
      <t xml:space="preserve"> are based on </t>
    </r>
    <r>
      <rPr>
        <b/>
        <sz val="11"/>
        <color rgb="FF000000"/>
        <rFont val="Calibri"/>
        <scheme val="minor"/>
      </rPr>
      <t>third-party industry data</t>
    </r>
    <r>
      <rPr>
        <sz val="11"/>
        <color rgb="FF000000"/>
        <rFont val="Calibri"/>
        <scheme val="minor"/>
      </rPr>
      <t xml:space="preserve"> for coffee retail store economics (Starbucks does not publicly disclose per-store financials)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</si>
  <si>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Store-level operating margin (17%)</t>
    </r>
    <r>
      <rPr>
        <sz val="11"/>
        <color rgb="FF000000"/>
        <rFont val="Calibri"/>
        <scheme val="minor"/>
      </rPr>
      <t xml:space="preserve"> is </t>
    </r>
    <r>
      <rPr>
        <b/>
        <sz val="11"/>
        <color rgb="FF000000"/>
        <rFont val="Calibri"/>
        <scheme val="minor"/>
      </rPr>
      <t>approximated from</t>
    </r>
    <r>
      <rPr>
        <sz val="11"/>
        <color rgb="FF000000"/>
        <rFont val="Calibri"/>
        <scheme val="minor"/>
      </rPr>
      <t xml:space="preserve"> Starbucks' FY2023 company-wide operating margin (16.3%), used as a reasonable proxy since store-level margin data isn't public</t>
    </r>
  </si>
  <si>
    <r>
      <rPr>
        <sz val="11"/>
        <color rgb="FF000000"/>
        <rFont val="Calibri"/>
        <scheme val="minor"/>
      </rPr>
      <t>•</t>
    </r>
    <r>
      <rPr>
        <i/>
        <sz val="11"/>
        <color rgb="FF000000"/>
        <rFont val="Calibri"/>
        <scheme val="minor"/>
      </rPr>
      <t xml:space="preserve"> Annual revenue growth (5%)</t>
    </r>
    <r>
      <rPr>
        <sz val="11"/>
        <color rgb="FF000000"/>
        <rFont val="Calibri"/>
        <scheme val="minor"/>
      </rPr>
      <t xml:space="preserve"> reflects a </t>
    </r>
    <r>
      <rPr>
        <b/>
        <sz val="11"/>
        <color rgb="FF000000"/>
        <rFont val="Calibri"/>
        <scheme val="minor"/>
      </rPr>
      <t>general assumption</t>
    </r>
    <r>
      <rPr>
        <sz val="11"/>
        <color rgb="FF000000"/>
        <rFont val="Calibri"/>
        <scheme val="minor"/>
      </rPr>
      <t xml:space="preserve"> for store maturation, not company-specific historical data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</si>
  <si>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Discount rate (10%)</t>
    </r>
    <r>
      <rPr>
        <sz val="11"/>
        <color rgb="FF000000"/>
        <rFont val="Calibri"/>
        <scheme val="minor"/>
      </rPr>
      <t xml:space="preserve"> — same rate used in the Microsoft DCF valuation, kept consistent across projects</t>
    </r>
  </si>
  <si>
    <r>
      <t>Results &amp; Recommendation</t>
    </r>
    <r>
      <rPr>
        <sz val="14"/>
        <color rgb="FF000000"/>
        <rFont val="Calibri"/>
      </rPr>
      <t xml:space="preserve"> 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</si>
  <si>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Payback Period:</t>
    </r>
    <r>
      <rPr>
        <sz val="11"/>
        <color rgb="FF000000"/>
        <rFont val="Calibri"/>
        <scheme val="minor"/>
      </rPr>
      <t xml:space="preserve"> 2.45 years — the initial $25 million investment is recovered from operating profit in under 2.5 years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</si>
  <si>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5-Year NPV</t>
    </r>
    <r>
      <rPr>
        <sz val="11"/>
        <color rgb="FF000000"/>
        <rFont val="Calibri"/>
        <scheme val="minor"/>
      </rPr>
      <t>: +$17.3 million — after discounting future profits back to present value and subtracting the initial investment, the expansion generates a net positive return of approximately $17.3 million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</si>
  <si>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Recommendation:</t>
    </r>
    <r>
      <rPr>
        <sz val="11"/>
        <color rgb="FF000000"/>
        <rFont val="Calibri"/>
        <scheme val="minor"/>
      </rPr>
      <t xml:space="preserve"> Proceed with the expansion. Both metrics point the same direction — a short payback period signals low risk (capital is recovered quickly), while a strongly positive NPV confirms the investment creates meaningful long-term value beyond simply recovering its cost</t>
    </r>
  </si>
  <si>
    <r>
      <rPr>
        <sz val="11"/>
        <color rgb="FF000000"/>
        <rFont val="Calibri"/>
        <scheme val="minor"/>
      </rPr>
      <t>•</t>
    </r>
    <r>
      <rPr>
        <i/>
        <sz val="11"/>
        <color rgb="FF000000"/>
        <rFont val="Calibri"/>
        <scheme val="minor"/>
      </rPr>
      <t xml:space="preserve"> Limitation:</t>
    </r>
    <r>
      <rPr>
        <sz val="11"/>
        <color rgb="FF000000"/>
        <rFont val="Calibri"/>
        <scheme val="minor"/>
      </rPr>
      <t xml:space="preserve"> This analysis uses industry-average unit economics rather than site-specific data (e.g., real estate costs, local market saturation, cannibalization of existing nearby stores), which would materially affect actual results for any specific expansion decision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</si>
</sst>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_(* #,##0.0_);_(* \(#,##0.0\);_(* &quot;-&quot;??_);_(@_)"/>
    <numFmt numFmtId="167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9"/>
      <color rgb="FF37415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20"/>
      <color rgb="FF000000"/>
      <name val="Calibri Light"/>
      <scheme val="major"/>
    </font>
    <font>
      <sz val="20"/>
      <color rgb="FF000000"/>
      <name val="Calibri Light"/>
      <scheme val="major"/>
    </font>
    <font>
      <b/>
      <sz val="20"/>
      <color theme="1"/>
      <name val="Calibri Light"/>
      <scheme val="major"/>
    </font>
    <font>
      <sz val="11"/>
      <color rgb="FF374151"/>
      <name val="Calibri"/>
      <scheme val="minor"/>
    </font>
    <font>
      <sz val="11"/>
      <color rgb="FF000000"/>
      <name val="Anthropic-Sans"/>
      <charset val="1"/>
    </font>
    <font>
      <sz val="11"/>
      <color theme="8" tint="-0.249977111117893"/>
      <name val="Calibri"/>
      <family val="2"/>
      <scheme val="minor"/>
    </font>
    <font>
      <b/>
      <sz val="16"/>
      <color rgb="FF000000"/>
      <name val="Calibri Light"/>
      <scheme val="major"/>
    </font>
    <font>
      <sz val="12"/>
      <color rgb="FF000000"/>
      <name val="Calibri Light"/>
      <scheme val="maj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0" borderId="0" xfId="0" applyFont="1"/>
    <xf numFmtId="1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readingOrder="1"/>
    </xf>
    <xf numFmtId="0" fontId="4" fillId="0" borderId="0" xfId="0" applyFont="1" applyAlignment="1">
      <alignment readingOrder="1"/>
    </xf>
    <xf numFmtId="0" fontId="6" fillId="0" borderId="0" xfId="0" applyFont="1"/>
    <xf numFmtId="0" fontId="6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9" fillId="0" borderId="0" xfId="0" applyFont="1"/>
    <xf numFmtId="0" fontId="10" fillId="0" borderId="0" xfId="0" applyFont="1"/>
    <xf numFmtId="9" fontId="0" fillId="0" borderId="0" xfId="0" applyNumberFormat="1"/>
    <xf numFmtId="10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1" fillId="4" borderId="0" xfId="0" applyFont="1" applyFill="1"/>
    <xf numFmtId="164" fontId="2" fillId="0" borderId="0" xfId="0" applyNumberFormat="1" applyFont="1"/>
    <xf numFmtId="0" fontId="12" fillId="0" borderId="0" xfId="0" applyFont="1"/>
    <xf numFmtId="0" fontId="13" fillId="0" borderId="0" xfId="0" applyFon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14" fillId="0" borderId="0" xfId="0" applyFont="1" applyAlignment="1">
      <alignment readingOrder="1"/>
    </xf>
    <xf numFmtId="0" fontId="15" fillId="0" borderId="0" xfId="0" applyFont="1" applyAlignment="1">
      <alignment readingOrder="1"/>
    </xf>
    <xf numFmtId="0" fontId="2" fillId="2" borderId="1" xfId="0" applyFont="1" applyFill="1" applyBorder="1"/>
    <xf numFmtId="167" fontId="2" fillId="2" borderId="2" xfId="0" applyNumberFormat="1" applyFont="1" applyFill="1" applyBorder="1"/>
    <xf numFmtId="0" fontId="0" fillId="5" borderId="3" xfId="0" applyFill="1" applyBorder="1"/>
    <xf numFmtId="9" fontId="0" fillId="5" borderId="3" xfId="0" applyNumberFormat="1" applyFill="1" applyBorder="1"/>
    <xf numFmtId="167" fontId="0" fillId="5" borderId="3" xfId="0" applyNumberFormat="1" applyFill="1" applyBorder="1"/>
    <xf numFmtId="0" fontId="18" fillId="0" borderId="0" xfId="0" applyFont="1"/>
  </cellXfs>
  <cellStyles count="1">
    <cellStyle name="Normal" xfId="0" builtinId="0"/>
  </cellStyles>
  <dxfs count="12">
    <dxf>
      <numFmt numFmtId="166" formatCode="_(* #,##0.0_);_(* \(#,##0.0\);_(* &quot;-&quot;??_);_(@_)"/>
    </dxf>
    <dxf>
      <numFmt numFmtId="2" formatCode="0.00"/>
    </dxf>
    <dxf>
      <numFmt numFmtId="167" formatCode="_(* #,##0_);_(* \(#,##0\);_(* &quot;-&quot;??_);_(@_)"/>
    </dxf>
    <dxf>
      <numFmt numFmtId="167" formatCode="_(* #,##0_);_(* \(#,##0\);_(* &quot;-&quot;??_);_(@_)"/>
    </dxf>
    <dxf>
      <font>
        <b/>
      </font>
    </dxf>
    <dxf>
      <numFmt numFmtId="164" formatCode="0.0"/>
    </dxf>
    <dxf>
      <numFmt numFmtId="164" formatCode="0.0"/>
    </dxf>
    <dxf>
      <numFmt numFmtId="164" formatCode="0.0"/>
    </dxf>
    <dxf>
      <numFmt numFmtId="14" formatCode="0.00%"/>
    </dxf>
    <dxf>
      <numFmt numFmtId="14" formatCode="0.00%"/>
    </dxf>
    <dxf>
      <numFmt numFmtId="4" formatCode="#,##0.00"/>
    </dxf>
    <dxf>
      <font>
        <sz val="12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9D77DA-2DDC-4C9F-A169-FF9535C03E66}" name="Table2" displayName="Table2" ref="A4:G18" totalsRowShown="0" headerRowDxfId="11">
  <autoFilter ref="A4:G18" xr:uid="{979D77DA-2DDC-4C9F-A169-FF9535C03E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FD8D492-EAED-45A9-9F57-5EC08019FB4D}" name="Line Item"/>
    <tableColumn id="2" xr3:uid="{A608B9FA-8091-4276-B5D7-B6A8AA5A2CBB}" name="Budget (FY2024)"/>
    <tableColumn id="3" xr3:uid="{7F508EA7-A56F-45CC-A753-3A09A71DEF1C}" name="Actual (FY2024)"/>
    <tableColumn id="4" xr3:uid="{5F2CB031-F4B6-4D64-8339-D2F17D8A5A35}" name="Variance ($)" dataDxfId="10">
      <calculatedColumnFormula>C5-B5</calculatedColumnFormula>
    </tableColumn>
    <tableColumn id="5" xr3:uid="{E59A6950-5691-40C9-8B8D-935A31CA7E74}" name="Variance (%)" dataDxfId="9">
      <calculatedColumnFormula>(C5-B5)/B5</calculatedColumnFormula>
    </tableColumn>
    <tableColumn id="6" xr3:uid="{24C0A21B-8D5A-4735-8B86-3E0F3C2C767A}" name="FY2023 Actual"/>
    <tableColumn id="7" xr3:uid="{9AA506D3-ADA5-4180-8023-00E0E9C2F526}" name="% of Revenue" dataDxfId="8">
      <calculatedColumnFormula>F5/$F$8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F2660-8782-4555-B840-10783A08553A}" name="Table1" displayName="Table1" ref="A4:E12" totalsRowShown="0">
  <autoFilter ref="A4:E12" xr:uid="{4AFF2660-8782-4555-B840-10783A08553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E3676DE-45C7-4ED1-847E-021C1178148E}" name="Line Item"/>
    <tableColumn id="2" xr3:uid="{DC20FFB3-7F80-4609-8FAB-ADCBFCB973AF}" name="FY2024 Actual (Base)"/>
    <tableColumn id="3" xr3:uid="{30E339C5-8695-4EA4-BA29-50F83FBA9F46}" name="Base Case" dataDxfId="7"/>
    <tableColumn id="4" xr3:uid="{A88D3196-9974-4CF4-84B1-51AC0460BA14}" name="Upside Case" dataDxfId="6"/>
    <tableColumn id="5" xr3:uid="{37B618FF-1F76-4E69-906B-B6A025EEAB4F}" name="Downside Case" dataDxfId="5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BA5B35-14C5-4CA8-8B6C-9F3B3D712FCF}" name="Table3" displayName="Table3" ref="A10:E15" totalsRowShown="0" headerRowDxfId="4">
  <autoFilter ref="A10:E15" xr:uid="{88BA5B35-14C5-4CA8-8B6C-9F3B3D712FC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896465C-C579-40E3-856F-1C407AE1CFCF}" name="Year "/>
    <tableColumn id="2" xr3:uid="{74D9B6DE-B19F-41ED-A30E-ED795142AF9C}" name="Revenue" dataDxfId="3">
      <calculatedColumnFormula>B10*(1+$B$5)</calculatedColumnFormula>
    </tableColumn>
    <tableColumn id="3" xr3:uid="{A78AD196-D214-42FD-AEC2-3F865A1DCF92}" name="Operating Profit" dataDxfId="2">
      <calculatedColumnFormula>B11*$B$4</calculatedColumnFormula>
    </tableColumn>
    <tableColumn id="4" xr3:uid="{B5D803C3-EF2F-488C-A2D0-B9A57AFF7160}" name="Discount Factor" dataDxfId="1"/>
    <tableColumn id="5" xr3:uid="{7B6EB7F3-DA5E-4ABD-B96B-472787C885D3}" name="Present Value of Profit" dataDxfId="0">
      <calculatedColumnFormula>C11*D11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K11" sqref="K11"/>
    </sheetView>
  </sheetViews>
  <sheetFormatPr defaultRowHeight="15"/>
  <cols>
    <col min="1" max="1" width="32.42578125" customWidth="1"/>
    <col min="2" max="2" width="18.140625" customWidth="1"/>
    <col min="3" max="3" width="17.5703125" customWidth="1"/>
    <col min="4" max="4" width="14.140625" customWidth="1"/>
    <col min="5" max="5" width="14.5703125" customWidth="1"/>
    <col min="6" max="6" width="16.140625" customWidth="1"/>
    <col min="7" max="7" width="15.7109375" bestFit="1" customWidth="1"/>
    <col min="9" max="9" width="12.140625" customWidth="1"/>
  </cols>
  <sheetData>
    <row r="1" spans="1:9" ht="26.25">
      <c r="A1" s="10" t="s">
        <v>0</v>
      </c>
    </row>
    <row r="2" spans="1:9">
      <c r="A2" s="13" t="s">
        <v>1</v>
      </c>
    </row>
    <row r="3" spans="1:9">
      <c r="A3" s="1"/>
      <c r="G3" t="s">
        <v>2</v>
      </c>
      <c r="I3" t="s">
        <v>3</v>
      </c>
    </row>
    <row r="4" spans="1:9" s="6" customFormat="1" ht="15.7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I4" s="6" t="s">
        <v>10</v>
      </c>
    </row>
    <row r="5" spans="1:9">
      <c r="A5" t="s">
        <v>11</v>
      </c>
      <c r="B5">
        <f>F5*1.06</f>
        <v>31230.038</v>
      </c>
      <c r="C5" s="2">
        <v>29765.9</v>
      </c>
      <c r="D5" s="2">
        <f>C5-B5</f>
        <v>-1464.137999999999</v>
      </c>
      <c r="E5" s="4">
        <f>(C5-B5)/B5</f>
        <v>-4.6882363703816148E-2</v>
      </c>
      <c r="F5">
        <v>29462.3</v>
      </c>
    </row>
    <row r="6" spans="1:9">
      <c r="A6" t="s">
        <v>12</v>
      </c>
      <c r="B6">
        <f>F6*1.06</f>
        <v>4783.4620000000004</v>
      </c>
      <c r="C6">
        <v>4505.1000000000004</v>
      </c>
      <c r="D6" s="2">
        <f t="shared" ref="D6:D18" si="0">C6-B6</f>
        <v>-278.36200000000008</v>
      </c>
      <c r="E6" s="4">
        <f t="shared" ref="E6:E18" si="1">(C6-B6)/B6</f>
        <v>-5.8192581021862422E-2</v>
      </c>
      <c r="F6">
        <v>4512.7</v>
      </c>
    </row>
    <row r="7" spans="1:9">
      <c r="A7" t="s">
        <v>13</v>
      </c>
      <c r="B7">
        <f>F7*1.06</f>
        <v>2120.636</v>
      </c>
      <c r="C7">
        <v>1905.2</v>
      </c>
      <c r="D7" s="2">
        <f t="shared" si="0"/>
        <v>-215.43599999999992</v>
      </c>
      <c r="E7" s="4">
        <f t="shared" si="1"/>
        <v>-0.101590277633691</v>
      </c>
      <c r="F7">
        <v>2000.6</v>
      </c>
    </row>
    <row r="8" spans="1:9">
      <c r="A8" s="3" t="s">
        <v>14</v>
      </c>
      <c r="B8">
        <f>35975.6*1.06</f>
        <v>38134.135999999999</v>
      </c>
      <c r="C8">
        <v>36176.199999999997</v>
      </c>
      <c r="D8" s="2">
        <f t="shared" si="0"/>
        <v>-1957.9360000000015</v>
      </c>
      <c r="E8" s="4">
        <f t="shared" si="1"/>
        <v>-5.1343394799871739E-2</v>
      </c>
      <c r="F8">
        <v>35975.599999999999</v>
      </c>
      <c r="G8" s="4"/>
    </row>
    <row r="9" spans="1:9">
      <c r="A9" t="s">
        <v>15</v>
      </c>
      <c r="B9">
        <f>$B$8*G9</f>
        <v>12093.646000000001</v>
      </c>
      <c r="C9">
        <v>11180.6</v>
      </c>
      <c r="D9" s="2">
        <f t="shared" si="0"/>
        <v>-913.04600000000028</v>
      </c>
      <c r="E9" s="4">
        <f t="shared" si="1"/>
        <v>-7.549799291297267E-2</v>
      </c>
      <c r="F9">
        <v>11409.1</v>
      </c>
      <c r="G9" s="4">
        <f>F9/$F$8</f>
        <v>0.31713439108729252</v>
      </c>
      <c r="I9" s="16">
        <f>Table2[[#This Row],[Actual (FY2024)]]/C8</f>
        <v>0.30905954743726544</v>
      </c>
    </row>
    <row r="10" spans="1:9">
      <c r="A10" t="s">
        <v>16</v>
      </c>
      <c r="B10">
        <f>$B$8*G10</f>
        <v>15603.518</v>
      </c>
      <c r="C10">
        <v>15286.5</v>
      </c>
      <c r="D10" s="2">
        <f t="shared" si="0"/>
        <v>-317.01800000000003</v>
      </c>
      <c r="E10" s="4">
        <f t="shared" si="1"/>
        <v>-2.031708490354547E-2</v>
      </c>
      <c r="F10">
        <v>14720.3</v>
      </c>
      <c r="G10" s="4">
        <f t="shared" ref="G10:G15" si="2">F10/$F$8</f>
        <v>0.40917455164055638</v>
      </c>
      <c r="I10" s="16">
        <f>Table2[[#This Row],[Actual (FY2024)]]/C8</f>
        <v>0.42255681912417559</v>
      </c>
    </row>
    <row r="11" spans="1:9">
      <c r="A11" t="s">
        <v>17</v>
      </c>
      <c r="B11">
        <f t="shared" ref="B10:B15" si="3">$B$8*G11</f>
        <v>571.76400000000001</v>
      </c>
      <c r="C11">
        <v>565.6</v>
      </c>
      <c r="D11" s="2">
        <f t="shared" si="0"/>
        <v>-6.1639999999999873</v>
      </c>
      <c r="E11" s="4">
        <f t="shared" si="1"/>
        <v>-1.078067174568526E-2</v>
      </c>
      <c r="F11">
        <v>539.4</v>
      </c>
      <c r="G11" s="4">
        <f t="shared" si="2"/>
        <v>1.4993495591456431E-2</v>
      </c>
    </row>
    <row r="12" spans="1:9">
      <c r="A12" t="s">
        <v>18</v>
      </c>
      <c r="B12">
        <f t="shared" si="3"/>
        <v>1444.3559999999998</v>
      </c>
      <c r="C12">
        <v>1512.6</v>
      </c>
      <c r="D12" s="2">
        <f t="shared" si="0"/>
        <v>68.244000000000142</v>
      </c>
      <c r="E12" s="4">
        <f t="shared" si="1"/>
        <v>4.7248739230494524E-2</v>
      </c>
      <c r="F12">
        <v>1362.6</v>
      </c>
      <c r="G12" s="4">
        <f t="shared" si="2"/>
        <v>3.7875671288317633E-2</v>
      </c>
    </row>
    <row r="13" spans="1:9">
      <c r="A13" t="s">
        <v>19</v>
      </c>
      <c r="B13">
        <f t="shared" si="3"/>
        <v>2587.7780000000002</v>
      </c>
      <c r="C13">
        <v>2523.3000000000002</v>
      </c>
      <c r="D13" s="2">
        <f t="shared" si="0"/>
        <v>-64.478000000000065</v>
      </c>
      <c r="E13" s="4">
        <f t="shared" si="1"/>
        <v>-2.4916356812678699E-2</v>
      </c>
      <c r="F13">
        <v>2441.3000000000002</v>
      </c>
      <c r="G13" s="4">
        <f t="shared" si="2"/>
        <v>6.7859882809459759E-2</v>
      </c>
      <c r="I13" s="16">
        <f>Table2[[#This Row],[Actual (FY2024)]]/C8</f>
        <v>6.975027780695596E-2</v>
      </c>
    </row>
    <row r="14" spans="1:9">
      <c r="A14" t="s">
        <v>20</v>
      </c>
      <c r="B14">
        <f t="shared" si="3"/>
        <v>23.108000000000001</v>
      </c>
      <c r="C14">
        <v>0</v>
      </c>
      <c r="D14" s="2">
        <f t="shared" si="0"/>
        <v>-23.108000000000001</v>
      </c>
      <c r="E14" s="4">
        <f t="shared" si="1"/>
        <v>-1</v>
      </c>
      <c r="F14">
        <v>21.8</v>
      </c>
      <c r="G14" s="4">
        <f t="shared" si="2"/>
        <v>6.0596626602475018E-4</v>
      </c>
    </row>
    <row r="15" spans="1:9">
      <c r="A15" s="3" t="s">
        <v>21</v>
      </c>
      <c r="B15">
        <f t="shared" si="3"/>
        <v>32324.170000000002</v>
      </c>
      <c r="C15">
        <v>31068.6</v>
      </c>
      <c r="D15" s="2">
        <f t="shared" si="0"/>
        <v>-1255.5700000000033</v>
      </c>
      <c r="E15" s="4">
        <f t="shared" si="1"/>
        <v>-3.8843070061814526E-2</v>
      </c>
      <c r="F15">
        <v>30494.5</v>
      </c>
      <c r="G15" s="4">
        <f>F15/$F$8</f>
        <v>0.84764395868310749</v>
      </c>
    </row>
    <row r="16" spans="1:9">
      <c r="A16" t="s">
        <v>22</v>
      </c>
      <c r="B16">
        <f>F16*1.06</f>
        <v>316.30399999999997</v>
      </c>
      <c r="C16">
        <v>301.2</v>
      </c>
      <c r="D16" s="2">
        <f t="shared" si="0"/>
        <v>-15.103999999999985</v>
      </c>
      <c r="E16" s="4">
        <f t="shared" si="1"/>
        <v>-4.7751530173503927E-2</v>
      </c>
      <c r="F16">
        <v>298.39999999999998</v>
      </c>
      <c r="G16" s="4">
        <f t="shared" ref="G16:G17" si="4">F16/$F$8</f>
        <v>8.2945107239351112E-3</v>
      </c>
    </row>
    <row r="17" spans="1:7">
      <c r="A17" t="s">
        <v>23</v>
      </c>
      <c r="B17" s="7">
        <f>B8-B15+B16</f>
        <v>6126.2699999999968</v>
      </c>
      <c r="C17">
        <v>5408.8</v>
      </c>
      <c r="D17" s="2">
        <f t="shared" si="0"/>
        <v>-717.46999999999662</v>
      </c>
      <c r="E17" s="4">
        <f t="shared" si="1"/>
        <v>-0.11711367602146118</v>
      </c>
      <c r="F17">
        <v>5870.8</v>
      </c>
      <c r="G17" s="4">
        <f t="shared" si="4"/>
        <v>0.16318838323752766</v>
      </c>
    </row>
    <row r="18" spans="1:7">
      <c r="A18" s="3" t="s">
        <v>24</v>
      </c>
      <c r="B18">
        <f>B8*G18</f>
        <v>4372.1819999999998</v>
      </c>
      <c r="C18">
        <v>3762.3</v>
      </c>
      <c r="D18" s="2">
        <f t="shared" si="0"/>
        <v>-609.88199999999961</v>
      </c>
      <c r="E18" s="4">
        <f t="shared" si="1"/>
        <v>-0.13949144843467168</v>
      </c>
      <c r="F18">
        <v>4124.7</v>
      </c>
      <c r="G18" s="4">
        <f>F18/$F$8</f>
        <v>0.11465270905836178</v>
      </c>
    </row>
    <row r="20" spans="1:7" ht="26.25">
      <c r="A20" s="11" t="s">
        <v>25</v>
      </c>
    </row>
    <row r="21" spans="1:7">
      <c r="A21" s="9" t="s">
        <v>26</v>
      </c>
    </row>
    <row r="22" spans="1:7">
      <c r="A22" s="9" t="s">
        <v>27</v>
      </c>
    </row>
    <row r="23" spans="1:7">
      <c r="A23" s="9" t="s">
        <v>28</v>
      </c>
    </row>
    <row r="24" spans="1:7">
      <c r="A24" s="8"/>
    </row>
    <row r="25" spans="1:7" ht="26.25">
      <c r="A25" s="12" t="s">
        <v>29</v>
      </c>
    </row>
    <row r="26" spans="1:7">
      <c r="A26" s="8" t="s">
        <v>30</v>
      </c>
    </row>
    <row r="27" spans="1:7">
      <c r="A27" s="8" t="s">
        <v>31</v>
      </c>
    </row>
    <row r="28" spans="1:7">
      <c r="A28" s="8" t="s">
        <v>32</v>
      </c>
    </row>
    <row r="29" spans="1:7">
      <c r="A29" s="8" t="s">
        <v>33</v>
      </c>
    </row>
    <row r="32" spans="1:7">
      <c r="A32" s="3"/>
    </row>
    <row r="34" spans="1:1">
      <c r="A34" s="3"/>
    </row>
    <row r="35" spans="1:1">
      <c r="A3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6AA1-D849-4945-B9E6-6C2B6B7DDDB6}">
  <dimension ref="A1:E32"/>
  <sheetViews>
    <sheetView topLeftCell="A20" workbookViewId="0">
      <selection activeCell="A26" sqref="A26"/>
    </sheetView>
  </sheetViews>
  <sheetFormatPr defaultRowHeight="15"/>
  <cols>
    <col min="1" max="1" width="31.85546875" customWidth="1"/>
    <col min="2" max="2" width="22.28515625" customWidth="1"/>
    <col min="3" max="3" width="13.42578125" customWidth="1"/>
    <col min="4" max="4" width="14.42578125" customWidth="1"/>
    <col min="5" max="5" width="17" customWidth="1"/>
  </cols>
  <sheetData>
    <row r="1" spans="1:5" ht="26.25">
      <c r="A1" s="10" t="s">
        <v>34</v>
      </c>
    </row>
    <row r="2" spans="1:5">
      <c r="A2" s="14" t="s">
        <v>35</v>
      </c>
    </row>
    <row r="4" spans="1:5">
      <c r="A4" t="s">
        <v>4</v>
      </c>
      <c r="B4" t="s">
        <v>36</v>
      </c>
      <c r="C4" t="s">
        <v>37</v>
      </c>
      <c r="D4" t="s">
        <v>38</v>
      </c>
      <c r="E4" t="s">
        <v>39</v>
      </c>
    </row>
    <row r="5" spans="1:5">
      <c r="A5" t="s">
        <v>40</v>
      </c>
      <c r="B5">
        <f>'Budget vs Actual'!C8</f>
        <v>36176.199999999997</v>
      </c>
      <c r="C5" s="17">
        <f>B5*(1+$B$17)</f>
        <v>37261.485999999997</v>
      </c>
      <c r="D5" s="17">
        <f>B5*(1+$B$18)</f>
        <v>38346.771999999997</v>
      </c>
      <c r="E5" s="17">
        <f>B5*(1+$B$19)</f>
        <v>35814.437999999995</v>
      </c>
    </row>
    <row r="6" spans="1:5">
      <c r="A6" t="s">
        <v>41</v>
      </c>
      <c r="B6">
        <f>'Budget vs Actual'!C9</f>
        <v>11180.6</v>
      </c>
      <c r="C6" s="17">
        <f>C5*D17</f>
        <v>11551.060659999999</v>
      </c>
      <c r="D6" s="17">
        <f>D5*D18</f>
        <v>11504.031599999998</v>
      </c>
      <c r="E6" s="17">
        <f>E5*D19</f>
        <v>11460.620159999999</v>
      </c>
    </row>
    <row r="7" spans="1:5">
      <c r="A7" t="s">
        <v>42</v>
      </c>
      <c r="B7">
        <f>'Budget vs Actual'!C10</f>
        <v>15286.5</v>
      </c>
      <c r="C7" s="17">
        <f>C5*C17</f>
        <v>15836.131549999998</v>
      </c>
      <c r="D7" s="17">
        <f>D5*C18</f>
        <v>15722.176519999997</v>
      </c>
      <c r="E7" s="17">
        <f>E5*C19</f>
        <v>15400.208339999997</v>
      </c>
    </row>
    <row r="8" spans="1:5">
      <c r="A8" t="s">
        <v>43</v>
      </c>
      <c r="B8">
        <f>'Budget vs Actual'!C13</f>
        <v>2523.3000000000002</v>
      </c>
      <c r="C8" s="17">
        <f>C5*E17</f>
        <v>2608.30402</v>
      </c>
      <c r="D8" s="17">
        <f>D5*E18</f>
        <v>2492.54018</v>
      </c>
      <c r="E8" s="17">
        <f>E5*E19</f>
        <v>2686.0828499999993</v>
      </c>
    </row>
    <row r="9" spans="1:5">
      <c r="A9" t="s">
        <v>44</v>
      </c>
      <c r="B9">
        <f>'Budget vs Actual'!C12</f>
        <v>1512.6</v>
      </c>
      <c r="C9" s="17">
        <f>Table1[[#This Row],[FY2024 Actual (Base)]]*1.03</f>
        <v>1557.9779999999998</v>
      </c>
      <c r="D9" s="17">
        <f>Table1[[#This Row],[FY2024 Actual (Base)]]*1.02</f>
        <v>1542.8519999999999</v>
      </c>
      <c r="E9" s="17">
        <f>Table1[[#This Row],[FY2024 Actual (Base)]]*1.05</f>
        <v>1588.23</v>
      </c>
    </row>
    <row r="10" spans="1:5">
      <c r="A10" t="s">
        <v>45</v>
      </c>
      <c r="B10">
        <v>0</v>
      </c>
      <c r="C10" s="17">
        <v>0</v>
      </c>
      <c r="D10" s="17">
        <v>0</v>
      </c>
      <c r="E10" s="17">
        <v>50</v>
      </c>
    </row>
    <row r="11" spans="1:5">
      <c r="A11" s="3" t="s">
        <v>46</v>
      </c>
      <c r="B11" s="20">
        <f>SUM(B6:B10)</f>
        <v>30502.999999999996</v>
      </c>
      <c r="C11" s="20">
        <f t="shared" ref="C11:E11" si="0">SUM(C6:C10)</f>
        <v>31553.474229999996</v>
      </c>
      <c r="D11" s="20">
        <f t="shared" si="0"/>
        <v>31261.600299999995</v>
      </c>
      <c r="E11" s="20">
        <f t="shared" si="0"/>
        <v>31185.141349999994</v>
      </c>
    </row>
    <row r="12" spans="1:5">
      <c r="A12" s="3" t="s">
        <v>23</v>
      </c>
      <c r="B12" s="20">
        <f>B5-B11</f>
        <v>5673.2000000000007</v>
      </c>
      <c r="C12" s="20">
        <f t="shared" ref="C12:E12" si="1">C5-C11</f>
        <v>5708.011770000001</v>
      </c>
      <c r="D12" s="20">
        <f t="shared" si="1"/>
        <v>7085.1717000000026</v>
      </c>
      <c r="E12" s="20">
        <f t="shared" si="1"/>
        <v>4629.2966500000002</v>
      </c>
    </row>
    <row r="13" spans="1:5">
      <c r="C13" s="17"/>
      <c r="D13" s="17"/>
      <c r="E13" s="17"/>
    </row>
    <row r="14" spans="1:5">
      <c r="C14" s="17"/>
      <c r="D14" s="17"/>
      <c r="E14" s="17"/>
    </row>
    <row r="15" spans="1:5">
      <c r="C15" s="18" t="s">
        <v>47</v>
      </c>
      <c r="D15" s="18" t="s">
        <v>48</v>
      </c>
      <c r="E15" s="18" t="s">
        <v>49</v>
      </c>
    </row>
    <row r="16" spans="1:5">
      <c r="B16" s="18" t="s">
        <v>50</v>
      </c>
      <c r="C16" s="18" t="s">
        <v>10</v>
      </c>
      <c r="D16" s="18" t="s">
        <v>10</v>
      </c>
      <c r="E16" s="18" t="s">
        <v>10</v>
      </c>
    </row>
    <row r="17" spans="1:5">
      <c r="A17" s="19" t="s">
        <v>37</v>
      </c>
      <c r="B17" s="15">
        <v>0.03</v>
      </c>
      <c r="C17" s="4">
        <v>0.42499999999999999</v>
      </c>
      <c r="D17" s="15">
        <v>0.31</v>
      </c>
      <c r="E17" s="4">
        <v>7.0000000000000007E-2</v>
      </c>
    </row>
    <row r="18" spans="1:5">
      <c r="A18" s="19" t="s">
        <v>38</v>
      </c>
      <c r="B18" s="15">
        <v>0.06</v>
      </c>
      <c r="C18" s="15">
        <v>0.41</v>
      </c>
      <c r="D18" s="15">
        <v>0.3</v>
      </c>
      <c r="E18" s="4">
        <v>6.5000000000000002E-2</v>
      </c>
    </row>
    <row r="19" spans="1:5">
      <c r="A19" s="19" t="s">
        <v>39</v>
      </c>
      <c r="B19" s="15">
        <v>-0.01</v>
      </c>
      <c r="C19" s="15">
        <v>0.43</v>
      </c>
      <c r="D19" s="15">
        <v>0.32</v>
      </c>
      <c r="E19" s="4">
        <v>7.4999999999999997E-2</v>
      </c>
    </row>
    <row r="23" spans="1:5" ht="26.25">
      <c r="A23" s="12" t="s">
        <v>51</v>
      </c>
    </row>
    <row r="24" spans="1:5">
      <c r="A24" s="9" t="s">
        <v>52</v>
      </c>
    </row>
    <row r="25" spans="1:5">
      <c r="A25" s="8" t="s">
        <v>53</v>
      </c>
    </row>
    <row r="26" spans="1:5">
      <c r="A26" s="8" t="s">
        <v>54</v>
      </c>
    </row>
    <row r="27" spans="1:5">
      <c r="A27" s="8" t="s">
        <v>55</v>
      </c>
    </row>
    <row r="28" spans="1:5">
      <c r="A28" s="8"/>
    </row>
    <row r="29" spans="1:5" ht="26.25">
      <c r="A29" s="11" t="s">
        <v>56</v>
      </c>
    </row>
    <row r="30" spans="1:5">
      <c r="A30" s="8" t="s">
        <v>57</v>
      </c>
    </row>
    <row r="31" spans="1:5">
      <c r="A31" s="8" t="s">
        <v>58</v>
      </c>
    </row>
    <row r="32" spans="1:5">
      <c r="A32" s="8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34A3-E6F6-4228-9791-D42876AC6865}">
  <dimension ref="A1:B17"/>
  <sheetViews>
    <sheetView workbookViewId="0">
      <selection activeCell="E13" sqref="E13"/>
    </sheetView>
  </sheetViews>
  <sheetFormatPr defaultRowHeight="15"/>
  <cols>
    <col min="1" max="1" width="39.28515625" customWidth="1"/>
    <col min="2" max="2" width="16.85546875" customWidth="1"/>
  </cols>
  <sheetData>
    <row r="1" spans="1:2" ht="21">
      <c r="A1" s="21" t="s">
        <v>60</v>
      </c>
    </row>
    <row r="2" spans="1:2" ht="15.75">
      <c r="A2" s="22" t="s">
        <v>61</v>
      </c>
    </row>
    <row r="4" spans="1:2">
      <c r="A4" s="7" t="s">
        <v>62</v>
      </c>
      <c r="B4" s="24">
        <v>50</v>
      </c>
    </row>
    <row r="5" spans="1:2">
      <c r="A5" s="7" t="s">
        <v>63</v>
      </c>
      <c r="B5" s="24">
        <v>500000</v>
      </c>
    </row>
    <row r="6" spans="1:2">
      <c r="A6" s="7" t="s">
        <v>64</v>
      </c>
      <c r="B6" s="24">
        <v>1200000</v>
      </c>
    </row>
    <row r="7" spans="1:2">
      <c r="A7" s="7" t="s">
        <v>65</v>
      </c>
      <c r="B7" s="15">
        <v>0.17</v>
      </c>
    </row>
    <row r="8" spans="1:2">
      <c r="B8" s="24"/>
    </row>
    <row r="9" spans="1:2">
      <c r="A9" t="s">
        <v>66</v>
      </c>
      <c r="B9" s="24">
        <f>B4*B5</f>
        <v>25000000</v>
      </c>
    </row>
    <row r="10" spans="1:2">
      <c r="A10" t="s">
        <v>67</v>
      </c>
      <c r="B10" s="24">
        <f>B4*B6</f>
        <v>60000000</v>
      </c>
    </row>
    <row r="11" spans="1:2">
      <c r="A11" t="s">
        <v>68</v>
      </c>
      <c r="B11" s="24">
        <f>B7*B10</f>
        <v>10200000</v>
      </c>
    </row>
    <row r="13" spans="1:2">
      <c r="A13" t="s">
        <v>69</v>
      </c>
      <c r="B13" s="25">
        <f>B9/B11</f>
        <v>2.4509803921568629</v>
      </c>
    </row>
    <row r="16" spans="1:2">
      <c r="A16" s="7" t="s">
        <v>70</v>
      </c>
      <c r="B16" s="15">
        <v>0.05</v>
      </c>
    </row>
    <row r="17" spans="1:2">
      <c r="A17" s="7" t="s">
        <v>71</v>
      </c>
      <c r="B17" s="15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A14D-BC4C-49A8-A1D2-281CAD454ED4}">
  <dimension ref="A1:E31"/>
  <sheetViews>
    <sheetView tabSelected="1" workbookViewId="0"/>
  </sheetViews>
  <sheetFormatPr defaultColWidth="9.140625" defaultRowHeight="15"/>
  <cols>
    <col min="1" max="1" width="27.7109375" customWidth="1"/>
    <col min="2" max="2" width="16" customWidth="1"/>
    <col min="3" max="3" width="18" customWidth="1"/>
    <col min="4" max="4" width="17.42578125" customWidth="1"/>
    <col min="5" max="5" width="24" customWidth="1"/>
  </cols>
  <sheetData>
    <row r="1" spans="1:5" ht="23.25">
      <c r="A1" s="33" t="s">
        <v>72</v>
      </c>
    </row>
    <row r="2" spans="1:5">
      <c r="A2" t="s">
        <v>73</v>
      </c>
    </row>
    <row r="4" spans="1:5">
      <c r="A4" s="30" t="s">
        <v>74</v>
      </c>
      <c r="B4" s="31">
        <f>'Business Case - Expansion'!B7</f>
        <v>0.17</v>
      </c>
    </row>
    <row r="5" spans="1:5">
      <c r="A5" s="30" t="s">
        <v>75</v>
      </c>
      <c r="B5" s="31">
        <f>'Business Case - Expansion'!B16</f>
        <v>0.05</v>
      </c>
    </row>
    <row r="6" spans="1:5">
      <c r="A6" s="30" t="s">
        <v>76</v>
      </c>
      <c r="B6" s="31">
        <f>'Business Case - Expansion'!B17</f>
        <v>0.1</v>
      </c>
    </row>
    <row r="7" spans="1:5">
      <c r="A7" s="30" t="s">
        <v>66</v>
      </c>
      <c r="B7" s="32">
        <f>'Business Case - Expansion'!B9</f>
        <v>25000000</v>
      </c>
    </row>
    <row r="8" spans="1:5">
      <c r="A8" s="30" t="s">
        <v>77</v>
      </c>
      <c r="B8" s="32">
        <f>'Business Case - Expansion'!B10</f>
        <v>60000000</v>
      </c>
    </row>
    <row r="10" spans="1:5">
      <c r="A10" s="3" t="s">
        <v>78</v>
      </c>
      <c r="B10" s="3" t="s">
        <v>79</v>
      </c>
      <c r="C10" s="3" t="s">
        <v>80</v>
      </c>
      <c r="D10" s="3" t="s">
        <v>81</v>
      </c>
      <c r="E10" s="3" t="s">
        <v>82</v>
      </c>
    </row>
    <row r="11" spans="1:5">
      <c r="A11" t="s">
        <v>83</v>
      </c>
      <c r="B11" s="24">
        <f>B8</f>
        <v>60000000</v>
      </c>
      <c r="C11" s="24">
        <f>B11*B4</f>
        <v>10200000</v>
      </c>
      <c r="D11" s="25">
        <f>1/(1+$B$6)^1</f>
        <v>0.90909090909090906</v>
      </c>
      <c r="E11" s="23">
        <f>C11*D11</f>
        <v>9272727.2727272715</v>
      </c>
    </row>
    <row r="12" spans="1:5">
      <c r="A12" t="s">
        <v>84</v>
      </c>
      <c r="B12" s="24">
        <f>B11*(1+$B$5)</f>
        <v>63000000</v>
      </c>
      <c r="C12" s="24">
        <f>B12*$B$4</f>
        <v>10710000</v>
      </c>
      <c r="D12" s="25">
        <f>1/(1+$B$6)^2</f>
        <v>0.82644628099173545</v>
      </c>
      <c r="E12" s="23">
        <f t="shared" ref="E12:E15" si="0">C12*D12</f>
        <v>8851239.6694214866</v>
      </c>
    </row>
    <row r="13" spans="1:5">
      <c r="A13" t="s">
        <v>85</v>
      </c>
      <c r="B13" s="24">
        <f t="shared" ref="B13:B15" si="1">B12*(1+$B$5)</f>
        <v>66150000</v>
      </c>
      <c r="C13" s="24">
        <f t="shared" ref="C13:C15" si="2">B13*$B$4</f>
        <v>11245500</v>
      </c>
      <c r="D13" s="25">
        <f>1/(1+$B$6)^3</f>
        <v>0.75131480090157754</v>
      </c>
      <c r="E13" s="23">
        <f t="shared" si="0"/>
        <v>8448910.5935386904</v>
      </c>
    </row>
    <row r="14" spans="1:5">
      <c r="A14" t="s">
        <v>86</v>
      </c>
      <c r="B14" s="24">
        <f t="shared" si="1"/>
        <v>69457500</v>
      </c>
      <c r="C14" s="24">
        <f t="shared" si="2"/>
        <v>11807775</v>
      </c>
      <c r="D14" s="25">
        <f>1/(1+$B$6)^4</f>
        <v>0.68301345536507052</v>
      </c>
      <c r="E14" s="23">
        <f t="shared" si="0"/>
        <v>8064869.202923296</v>
      </c>
    </row>
    <row r="15" spans="1:5">
      <c r="A15" t="s">
        <v>87</v>
      </c>
      <c r="B15" s="24">
        <f t="shared" si="1"/>
        <v>72930375</v>
      </c>
      <c r="C15" s="24">
        <f t="shared" si="2"/>
        <v>12398163.75</v>
      </c>
      <c r="D15" s="25">
        <f>1/(1+$B$6)^5</f>
        <v>0.62092132305915493</v>
      </c>
      <c r="E15" s="23">
        <f t="shared" si="0"/>
        <v>7698284.2391540539</v>
      </c>
    </row>
    <row r="17" spans="1:2">
      <c r="A17" s="28" t="s">
        <v>88</v>
      </c>
      <c r="B17" s="29">
        <f>SUM(E11:E15)-B7</f>
        <v>17336030.9777648</v>
      </c>
    </row>
    <row r="20" spans="1:2" ht="18.75">
      <c r="A20" s="26" t="s">
        <v>51</v>
      </c>
    </row>
    <row r="21" spans="1:2">
      <c r="A21" s="7" t="s">
        <v>89</v>
      </c>
    </row>
    <row r="22" spans="1:2">
      <c r="A22" s="7" t="s">
        <v>90</v>
      </c>
    </row>
    <row r="23" spans="1:2">
      <c r="A23" s="7" t="s">
        <v>91</v>
      </c>
    </row>
    <row r="24" spans="1:2">
      <c r="A24" s="7" t="s">
        <v>92</v>
      </c>
    </row>
    <row r="25" spans="1:2">
      <c r="A25" s="7" t="s">
        <v>93</v>
      </c>
    </row>
    <row r="26" spans="1:2">
      <c r="A26" s="8"/>
    </row>
    <row r="27" spans="1:2" ht="18.75">
      <c r="A27" s="27" t="s">
        <v>94</v>
      </c>
    </row>
    <row r="28" spans="1:2">
      <c r="A28" s="9" t="s">
        <v>95</v>
      </c>
    </row>
    <row r="29" spans="1:2">
      <c r="A29" s="9" t="s">
        <v>96</v>
      </c>
    </row>
    <row r="30" spans="1:2">
      <c r="A30" s="9" t="s">
        <v>97</v>
      </c>
    </row>
    <row r="31" spans="1:2">
      <c r="A31" s="9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2026-08-27T13:42:50Z</dcterms:created>
  <dcterms:modified xsi:type="dcterms:W3CDTF">2026-09-01T04:37:18Z</dcterms:modified>
  <cp:category/>
  <cp:contentStatus/>
</cp:coreProperties>
</file>