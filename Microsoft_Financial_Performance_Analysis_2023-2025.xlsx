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08899BF1-596D-446C-B9C0-6CEA94240175}" xr6:coauthVersionLast="47" xr6:coauthVersionMax="47" xr10:uidLastSave="{00000000-0000-0000-0000-000000000000}"/>
  <bookViews>
    <workbookView xWindow="240" yWindow="105" windowWidth="14805" windowHeight="8010" firstSheet="2" activeTab="5" xr2:uid="{00000000-000D-0000-FFFF-FFFF00000000}"/>
  </bookViews>
  <sheets>
    <sheet name="Dashboard" sheetId="6" r:id="rId1"/>
    <sheet name="Trend Analysis" sheetId="5" r:id="rId2"/>
    <sheet name="Income Statement" sheetId="2" r:id="rId3"/>
    <sheet name="Balance Sheet" sheetId="3" r:id="rId4"/>
    <sheet name="Cash Flow" sheetId="4" r:id="rId5"/>
    <sheet name="DCF Valuation" sheetId="7" r:id="rId6"/>
    <sheet name="Raw Data" sheetId="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7" l="1"/>
  <c r="C9" i="7"/>
  <c r="C8" i="7"/>
  <c r="C7" i="7"/>
  <c r="C6" i="7"/>
  <c r="B6" i="7"/>
  <c r="G8" i="6"/>
  <c r="D8" i="6"/>
  <c r="A8" i="6"/>
  <c r="G5" i="6"/>
  <c r="D5" i="6"/>
  <c r="A5" i="6"/>
  <c r="C12" i="5"/>
  <c r="D12" i="5"/>
  <c r="B12" i="5"/>
  <c r="C11" i="5"/>
  <c r="D11" i="5"/>
  <c r="B11" i="5"/>
  <c r="C10" i="5"/>
  <c r="D10" i="5"/>
  <c r="B10" i="5"/>
  <c r="C9" i="5"/>
  <c r="D9" i="5"/>
  <c r="B9" i="5"/>
  <c r="C8" i="5"/>
  <c r="D8" i="5"/>
  <c r="B8" i="5"/>
  <c r="C7" i="5"/>
  <c r="D7" i="5"/>
  <c r="B7" i="5"/>
  <c r="C6" i="5"/>
  <c r="D6" i="5"/>
  <c r="B6" i="5"/>
  <c r="C5" i="5"/>
  <c r="D5" i="5"/>
  <c r="B5" i="5"/>
  <c r="C16" i="4"/>
  <c r="D16" i="4"/>
  <c r="B16" i="4"/>
  <c r="C15" i="4"/>
  <c r="D15" i="4"/>
  <c r="B15" i="4"/>
  <c r="C14" i="4"/>
  <c r="D14" i="4"/>
  <c r="B14" i="4"/>
  <c r="C12" i="4"/>
  <c r="D12" i="4"/>
  <c r="B12" i="4"/>
  <c r="C21" i="3"/>
  <c r="D21" i="3"/>
  <c r="B21" i="3"/>
  <c r="C20" i="3"/>
  <c r="D20" i="3"/>
  <c r="B20" i="3"/>
  <c r="C19" i="3"/>
  <c r="D19" i="3"/>
  <c r="B19" i="3"/>
  <c r="D6" i="2"/>
  <c r="D7" i="2"/>
  <c r="D8" i="2"/>
  <c r="D9" i="2"/>
  <c r="D10" i="2"/>
  <c r="D11" i="2"/>
  <c r="D12" i="2"/>
  <c r="D13" i="2"/>
  <c r="D14" i="2"/>
  <c r="C6" i="2"/>
  <c r="C7" i="2"/>
  <c r="C8" i="2"/>
  <c r="C9" i="2"/>
  <c r="C10" i="2"/>
  <c r="C11" i="2"/>
  <c r="C12" i="2"/>
  <c r="C13" i="2"/>
  <c r="C14" i="2"/>
  <c r="B6" i="2"/>
  <c r="B7" i="2"/>
  <c r="B8" i="2"/>
  <c r="B9" i="2"/>
  <c r="B10" i="2"/>
  <c r="B11" i="2"/>
  <c r="B12" i="2"/>
  <c r="B13" i="2"/>
  <c r="B14" i="2"/>
  <c r="D5" i="2"/>
  <c r="C5" i="2"/>
  <c r="B5" i="2"/>
  <c r="D6" i="7" l="1"/>
  <c r="B7" i="7"/>
  <c r="E5" i="2"/>
  <c r="F5" i="2"/>
  <c r="B18" i="2"/>
  <c r="B17" i="2"/>
  <c r="B16" i="2"/>
  <c r="C18" i="2"/>
  <c r="E14" i="2"/>
  <c r="E13" i="2"/>
  <c r="E12" i="2"/>
  <c r="C17" i="2"/>
  <c r="E11" i="2"/>
  <c r="E10" i="2"/>
  <c r="E9" i="2"/>
  <c r="E8" i="2"/>
  <c r="C16" i="2"/>
  <c r="E7" i="2"/>
  <c r="E6" i="2"/>
  <c r="D18" i="2"/>
  <c r="F14" i="2"/>
  <c r="F13" i="2"/>
  <c r="F12" i="2"/>
  <c r="D17" i="2"/>
  <c r="F11" i="2"/>
  <c r="F10" i="2"/>
  <c r="F9" i="2"/>
  <c r="F8" i="2"/>
  <c r="D16" i="2"/>
  <c r="F7" i="2"/>
  <c r="F6" i="2"/>
  <c r="D7" i="7" l="1"/>
  <c r="B8" i="7"/>
  <c r="D8" i="7" l="1"/>
  <c r="B9" i="7"/>
  <c r="D9" i="7" l="1"/>
  <c r="B10" i="7"/>
  <c r="B12" i="7" l="1"/>
  <c r="B13" i="7" s="1"/>
  <c r="D10" i="7"/>
  <c r="B15" i="7" s="1"/>
  <c r="B16" i="7" s="1"/>
</calcChain>
</file>

<file path=xl/sharedStrings.xml><?xml version="1.0" encoding="utf-8"?>
<sst xmlns="http://schemas.openxmlformats.org/spreadsheetml/2006/main" count="140" uniqueCount="98">
  <si>
    <t>Microsoft Financial Performance Dashboard</t>
  </si>
  <si>
    <t>3-Year Analysis | FY2023–FY2025</t>
  </si>
  <si>
    <t>Revenue</t>
  </si>
  <si>
    <t>Net Income</t>
  </si>
  <si>
    <t>Operating Margin</t>
  </si>
  <si>
    <t>Net Profit Margin</t>
  </si>
  <si>
    <t>Total Debt</t>
  </si>
  <si>
    <t>Free Cash Flow</t>
  </si>
  <si>
    <t>Key Financial Insights</t>
  </si>
  <si>
    <t>Revenue Growth</t>
  </si>
  <si>
    <t>Revenue increased from $211.9B in FY2023 to $281.7B in FY2025, reflecting strong and consistent top-line growth.</t>
  </si>
  <si>
    <t>Profitability</t>
  </si>
  <si>
    <t>Operating profit margin improved from 41.77% to 45.62%, indicating stronger operating profitability over the three-year period.</t>
  </si>
  <si>
    <t>Net Profit</t>
  </si>
  <si>
    <t>Net income increased from $72.4B to $101.8B, while net profit margin improved from 34.15% to 36.15%.</t>
  </si>
  <si>
    <t>Debt Position</t>
  </si>
  <si>
    <t>Total debt declined from $47.7B in FY2023 to $43.2B in FY2025, while shareholders' equity increased significantly.</t>
  </si>
  <si>
    <t>Cash Flow</t>
  </si>
  <si>
    <t>Operating cash flow reached $136.2B in FY2025, while higher capital expenditure reduced free cash flow to $71.6B.</t>
  </si>
  <si>
    <t>Microsoft 3-Year Financial Trend Analysis</t>
  </si>
  <si>
    <t>Amounts in USD millions unless otherwise stated</t>
  </si>
  <si>
    <t>Financial Metric</t>
  </si>
  <si>
    <t>FY2023</t>
  </si>
  <si>
    <t>FY2024</t>
  </si>
  <si>
    <t>FY2025</t>
  </si>
  <si>
    <t>Gross Profit Margin</t>
  </si>
  <si>
    <t>Operating Profit Margin</t>
  </si>
  <si>
    <t>Operating Cash Flow</t>
  </si>
  <si>
    <t>Microsoft Income Statement Analysis</t>
  </si>
  <si>
    <t>Amounts in USD millions</t>
  </si>
  <si>
    <t>2024 Growth</t>
  </si>
  <si>
    <t>2025 Growth</t>
  </si>
  <si>
    <t>Cost of Revenue</t>
  </si>
  <si>
    <t>Gross Profit</t>
  </si>
  <si>
    <t>Research &amp; Development</t>
  </si>
  <si>
    <t>Sales &amp; Marketing</t>
  </si>
  <si>
    <t>General &amp; Administrative</t>
  </si>
  <si>
    <t>Operating Income</t>
  </si>
  <si>
    <t>Income Before Tax</t>
  </si>
  <si>
    <t>Income Tax</t>
  </si>
  <si>
    <t>Microsoft Balance Sheet Analysis</t>
  </si>
  <si>
    <t>Cash &amp; Cash Equivalents</t>
  </si>
  <si>
    <t>Short-Term Investments</t>
  </si>
  <si>
    <t>Accounts Receivable</t>
  </si>
  <si>
    <t>Inventories</t>
  </si>
  <si>
    <t>Other Current Assets</t>
  </si>
  <si>
    <t>Total Current Assets</t>
  </si>
  <si>
    <t>Total Assets</t>
  </si>
  <si>
    <t>Total Current Liabilities</t>
  </si>
  <si>
    <t>Total Liabilities</t>
  </si>
  <si>
    <t>Total Stockholders' Equity</t>
  </si>
  <si>
    <t>Short-Term Debt</t>
  </si>
  <si>
    <t>Current Portion of Long-Term Debt</t>
  </si>
  <si>
    <t>Long-Term Debt</t>
  </si>
  <si>
    <t>Current Ratio</t>
  </si>
  <si>
    <t>Debt-to-Equity Ratio</t>
  </si>
  <si>
    <t>Microsoft Cash Flow Analysis</t>
  </si>
  <si>
    <t>Net Cash from Operations</t>
  </si>
  <si>
    <t>Additions to Property &amp; Equipment</t>
  </si>
  <si>
    <t>Net Cash Used in Investing</t>
  </si>
  <si>
    <t>Net Cash Used in Financing</t>
  </si>
  <si>
    <t>Net Change in Cash</t>
  </si>
  <si>
    <t>Ending Cash &amp; Cash Equivalents</t>
  </si>
  <si>
    <t>Operating Cash Flow Margin</t>
  </si>
  <si>
    <t>Free Cash Flow Margin</t>
  </si>
  <si>
    <t>Cash Conversion Ratio</t>
  </si>
  <si>
    <t>Microsoft DCF Valuation — Estimated Enterprise Value</t>
  </si>
  <si>
    <t>Growth Rate</t>
  </si>
  <si>
    <t>Base Year (FY2025) Free Cash Flow: $71,611 million</t>
  </si>
  <si>
    <t>Discount Rate (WACC)</t>
  </si>
  <si>
    <t>Terminal Growth Rate</t>
  </si>
  <si>
    <t>Year</t>
  </si>
  <si>
    <t>Projected FCF</t>
  </si>
  <si>
    <t>Discount Factor</t>
  </si>
  <si>
    <t>Present Value</t>
  </si>
  <si>
    <t>FY2026</t>
  </si>
  <si>
    <t>FY2027</t>
  </si>
  <si>
    <t>FY2028</t>
  </si>
  <si>
    <t>FY2029</t>
  </si>
  <si>
    <t>FY2030</t>
  </si>
  <si>
    <t>Terminal Value</t>
  </si>
  <si>
    <t>PV of Terminal Value</t>
  </si>
  <si>
    <t>Sum of PV of Projected FCF (FY26-30)</t>
  </si>
  <si>
    <t>Estimated Enterprise Value</t>
  </si>
  <si>
    <r>
      <t>Key Assumptions</t>
    </r>
    <r>
      <rPr>
        <sz val="14"/>
        <color rgb="FF000000"/>
        <rFont val="Calibri"/>
      </rPr>
      <t xml:space="preserve"> </t>
    </r>
  </si>
  <si>
    <r>
      <rPr>
        <i/>
        <sz val="11"/>
        <color rgb="FF000000"/>
        <rFont val="Calibri"/>
        <scheme val="minor"/>
      </rPr>
      <t xml:space="preserve">• </t>
    </r>
    <r>
      <rPr>
        <i/>
        <u/>
        <sz val="11"/>
        <color rgb="FF000000"/>
        <rFont val="Calibri"/>
        <scheme val="minor"/>
      </rPr>
      <t>Base year</t>
    </r>
    <r>
      <rPr>
        <u/>
        <sz val="11"/>
        <color rgb="FF000000"/>
        <rFont val="Calibri"/>
        <scheme val="minor"/>
      </rPr>
      <t>:</t>
    </r>
    <r>
      <rPr>
        <sz val="11"/>
        <color rgb="FF000000"/>
        <rFont val="Calibri"/>
        <scheme val="minor"/>
      </rPr>
      <t xml:space="preserve"> FY2025 actual Free Cash Flow of $71,611 million (sourced from Cash Flow statement)</t>
    </r>
  </si>
  <si>
    <r>
      <rPr>
        <sz val="11"/>
        <color rgb="FF000000"/>
        <rFont val="Calibri"/>
      </rPr>
      <t>•</t>
    </r>
    <r>
      <rPr>
        <i/>
        <sz val="11"/>
        <color rgb="FF000000"/>
        <rFont val="Calibri"/>
      </rPr>
      <t xml:space="preserve"> </t>
    </r>
    <r>
      <rPr>
        <i/>
        <u/>
        <sz val="11"/>
        <color rgb="FF000000"/>
        <rFont val="Calibri"/>
      </rPr>
      <t>Growth rate</t>
    </r>
    <r>
      <rPr>
        <sz val="11"/>
        <color rgb="FF000000"/>
        <rFont val="Calibri"/>
      </rPr>
      <t>: 8% annual FCF growth assumed for the 5-year explicit forecast period (FY2026-2030)</t>
    </r>
  </si>
  <si>
    <r>
      <rPr>
        <sz val="11"/>
        <color rgb="FF000000"/>
        <rFont val="Calibri"/>
      </rPr>
      <t xml:space="preserve">• </t>
    </r>
    <r>
      <rPr>
        <i/>
        <u/>
        <sz val="11"/>
        <color rgb="FF000000"/>
        <rFont val="Calibri"/>
      </rPr>
      <t>Discount rate (WACC)</t>
    </r>
    <r>
      <rPr>
        <sz val="11"/>
        <color rgb="FF000000"/>
        <rFont val="Calibri"/>
      </rPr>
      <t>: 10% assumed — a simplified estimate representative of large-cap technology companies, rather than a company-specific calculated WACC</t>
    </r>
  </si>
  <si>
    <r>
      <rPr>
        <sz val="11"/>
        <color rgb="FF000000"/>
        <rFont val="Calibri"/>
        <scheme val="minor"/>
      </rPr>
      <t xml:space="preserve">• </t>
    </r>
    <r>
      <rPr>
        <i/>
        <u/>
        <sz val="11"/>
        <color rgb="FF000000"/>
        <rFont val="Calibri"/>
        <scheme val="minor"/>
      </rPr>
      <t>Terminal growth rate:</t>
    </r>
    <r>
      <rPr>
        <sz val="11"/>
        <color rgb="FF000000"/>
        <rFont val="Calibri"/>
        <scheme val="minor"/>
      </rPr>
      <t xml:space="preserve"> 2.5%, in line with long-term GDP/inflation expectations, used to estimate value beyond the 5-year forecast period (Gordon Growth Model)</t>
    </r>
  </si>
  <si>
    <r>
      <t>Result &amp; Interpretation</t>
    </r>
    <r>
      <rPr>
        <sz val="14"/>
        <color rgb="FF000000"/>
        <rFont val="Calibri"/>
      </rPr>
      <t xml:space="preserve"> </t>
    </r>
  </si>
  <si>
    <r>
      <rPr>
        <sz val="11"/>
        <color rgb="FF000000"/>
        <rFont val="Calibri"/>
        <scheme val="minor"/>
      </rPr>
      <t>•</t>
    </r>
    <r>
      <rPr>
        <u/>
        <sz val="11"/>
        <color rgb="FF000000"/>
        <rFont val="Calibri"/>
        <scheme val="minor"/>
      </rPr>
      <t xml:space="preserve"> </t>
    </r>
    <r>
      <rPr>
        <i/>
        <u/>
        <sz val="11"/>
        <color rgb="FF000000"/>
        <rFont val="Calibri"/>
        <scheme val="minor"/>
      </rPr>
      <t>Estimated Enterprise Value:</t>
    </r>
    <r>
      <rPr>
        <sz val="11"/>
        <color rgb="FF000000"/>
        <rFont val="Calibri"/>
        <scheme val="minor"/>
      </rPr>
      <t xml:space="preserve"> ~$1.23 trillion, based on discounted 5-year FCF projections plus terminal value</t>
    </r>
  </si>
  <si>
    <t>• This is notably lower than Microsoft's actual market capitalization (~$3.6-3.7 trillion as of August 2026), which is a common and expected outcome for simplified DCF models</t>
  </si>
  <si>
    <r>
      <rPr>
        <sz val="11"/>
        <color rgb="FF000000"/>
        <rFont val="Calibri"/>
      </rPr>
      <t xml:space="preserve">• </t>
    </r>
    <r>
      <rPr>
        <i/>
        <u/>
        <sz val="11"/>
        <color rgb="FF000000"/>
        <rFont val="Calibri"/>
      </rPr>
      <t>Key reasons for the gap:</t>
    </r>
  </si>
  <si>
    <t>1. The 8% growth assumption is conservative relative to Microsoft's AI/cloud driven growth expectations;</t>
  </si>
  <si>
    <t>2. The 10% discount rate is a generalized estimate rather than a precisely calculated WACC - a lower WACC would meaningfully increase the valuation;</t>
  </si>
  <si>
    <t>3. DCF captures cash-generating ability from existing operations, while market value also prices in growth optionality (e.g., future AI products) that a standard 5-year model doesn't fully capture</t>
  </si>
  <si>
    <r>
      <t xml:space="preserve">• This exercise demonstrates the DCF </t>
    </r>
    <r>
      <rPr>
        <i/>
        <sz val="11"/>
        <color theme="1"/>
        <rFont val="Calibri"/>
        <family val="2"/>
        <scheme val="minor"/>
      </rPr>
      <t>mechanics</t>
    </r>
    <r>
      <rPr>
        <sz val="11"/>
        <color theme="1"/>
        <rFont val="Calibri"/>
        <family val="2"/>
        <scheme val="minor"/>
      </rPr>
      <t xml:space="preserve"> and sensitivity to assumptions, rather than serving as a precise real-world valuation — a useful reminder that model outputs are only as reliable as their inputs</t>
    </r>
  </si>
  <si>
    <t>Microsoft Financial Statement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</si>
</sst>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 Light"/>
      <scheme val="major"/>
    </font>
    <font>
      <b/>
      <sz val="14"/>
      <color rgb="FF000000"/>
      <name val="Calibri Light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i/>
      <sz val="11"/>
      <color rgb="FF000000"/>
      <name val="Calibri"/>
      <scheme val="minor"/>
    </font>
    <font>
      <i/>
      <sz val="11"/>
      <color rgb="FF000000"/>
      <name val="Calibri"/>
    </font>
    <font>
      <i/>
      <u/>
      <sz val="11"/>
      <color rgb="FF000000"/>
      <name val="Calibri"/>
      <scheme val="minor"/>
    </font>
    <font>
      <u/>
      <sz val="11"/>
      <color rgb="FF000000"/>
      <name val="Calibri"/>
      <scheme val="minor"/>
    </font>
    <font>
      <i/>
      <u/>
      <sz val="11"/>
      <color rgb="FF000000"/>
      <name val="Calibri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/>
    <xf numFmtId="0" fontId="5" fillId="0" borderId="0" xfId="0" applyFont="1"/>
    <xf numFmtId="0" fontId="2" fillId="0" borderId="0" xfId="0" applyFont="1" applyAlignment="1"/>
    <xf numFmtId="10" fontId="0" fillId="0" borderId="0" xfId="0" applyNumberFormat="1"/>
    <xf numFmtId="3" fontId="1" fillId="0" borderId="0" xfId="0" applyNumberFormat="1" applyFont="1"/>
    <xf numFmtId="2" fontId="0" fillId="0" borderId="0" xfId="0" applyNumberFormat="1"/>
    <xf numFmtId="10" fontId="5" fillId="0" borderId="0" xfId="0" applyNumberFormat="1" applyFont="1"/>
    <xf numFmtId="164" fontId="5" fillId="0" borderId="0" xfId="0" applyNumberFormat="1" applyFont="1"/>
    <xf numFmtId="2" fontId="5" fillId="0" borderId="0" xfId="0" applyNumberFormat="1" applyFont="1"/>
    <xf numFmtId="0" fontId="6" fillId="0" borderId="0" xfId="0" applyFont="1"/>
    <xf numFmtId="0" fontId="7" fillId="0" borderId="0" xfId="0" applyFont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8" fillId="0" borderId="0" xfId="0" applyFont="1"/>
    <xf numFmtId="0" fontId="9" fillId="0" borderId="0" xfId="0" quotePrefix="1" applyFont="1"/>
    <xf numFmtId="0" fontId="10" fillId="0" borderId="0" xfId="0" applyFont="1"/>
    <xf numFmtId="165" fontId="0" fillId="0" borderId="0" xfId="0" applyNumberFormat="1"/>
    <xf numFmtId="0" fontId="6" fillId="0" borderId="0" xfId="0" applyFont="1" applyAlignment="1">
      <alignment horizontal="center"/>
    </xf>
    <xf numFmtId="0" fontId="0" fillId="0" borderId="0" xfId="0" applyAlignment="1">
      <alignment readingOrder="1"/>
    </xf>
    <xf numFmtId="0" fontId="13" fillId="0" borderId="0" xfId="0" applyFont="1" applyAlignment="1">
      <alignment readingOrder="1"/>
    </xf>
    <xf numFmtId="0" fontId="10" fillId="0" borderId="0" xfId="0" applyFont="1" applyAlignment="1">
      <alignment readingOrder="1"/>
    </xf>
    <xf numFmtId="0" fontId="12" fillId="0" borderId="0" xfId="0" applyFont="1" applyAlignment="1">
      <alignment readingOrder="1"/>
    </xf>
    <xf numFmtId="0" fontId="11" fillId="0" borderId="0" xfId="0" applyFont="1"/>
    <xf numFmtId="0" fontId="10" fillId="2" borderId="6" xfId="0" applyFont="1" applyFill="1" applyBorder="1" applyAlignment="1">
      <alignment vertical="center"/>
    </xf>
    <xf numFmtId="9" fontId="20" fillId="2" borderId="6" xfId="0" applyNumberFormat="1" applyFont="1" applyFill="1" applyBorder="1" applyAlignment="1">
      <alignment vertical="center"/>
    </xf>
    <xf numFmtId="10" fontId="20" fillId="2" borderId="6" xfId="0" applyNumberFormat="1" applyFont="1" applyFill="1" applyBorder="1" applyAlignment="1">
      <alignment vertical="center"/>
    </xf>
    <xf numFmtId="0" fontId="11" fillId="3" borderId="2" xfId="0" applyFont="1" applyFill="1" applyBorder="1"/>
    <xf numFmtId="165" fontId="1" fillId="3" borderId="3" xfId="0" applyNumberFormat="1" applyFont="1" applyFill="1" applyBorder="1"/>
    <xf numFmtId="0" fontId="11" fillId="3" borderId="4" xfId="0" applyFont="1" applyFill="1" applyBorder="1"/>
    <xf numFmtId="2" fontId="1" fillId="3" borderId="5" xfId="0" applyNumberFormat="1" applyFont="1" applyFill="1" applyBorder="1"/>
  </cellXfs>
  <cellStyles count="1">
    <cellStyle name="Normal" xfId="0" builtinId="0"/>
  </cellStyles>
  <dxfs count="5">
    <dxf>
      <numFmt numFmtId="165" formatCode="0.0"/>
    </dxf>
    <dxf>
      <numFmt numFmtId="2" formatCode="0.00"/>
    </dxf>
    <dxf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Analysis'!$A$5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 Analysis'!$B$4:$D$4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'Trend Analysis'!$B$5:$D$5</c:f>
              <c:numCache>
                <c:formatCode>#,##0</c:formatCode>
                <c:ptCount val="3"/>
                <c:pt idx="0">
                  <c:v>211915</c:v>
                </c:pt>
                <c:pt idx="1">
                  <c:v>245122</c:v>
                </c:pt>
                <c:pt idx="2">
                  <c:v>281724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D-4DDD-86A9-AA2F4252D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034568"/>
        <c:axId val="84066824"/>
      </c:lineChart>
      <c:catAx>
        <c:axId val="84034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66824"/>
        <c:crosses val="autoZero"/>
        <c:auto val="1"/>
        <c:lblAlgn val="ctr"/>
        <c:lblOffset val="100"/>
        <c:noMultiLvlLbl val="0"/>
      </c:catAx>
      <c:valAx>
        <c:axId val="8406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4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7E6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Income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Analysis'!$A$6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'Trend Analysis'!$B$4:$D$4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'Trend Analysis'!$B$6:$D$6</c:f>
              <c:numCache>
                <c:formatCode>#,##0</c:formatCode>
                <c:ptCount val="3"/>
                <c:pt idx="0">
                  <c:v>72361</c:v>
                </c:pt>
                <c:pt idx="1">
                  <c:v>88136</c:v>
                </c:pt>
                <c:pt idx="2">
                  <c:v>101832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4-4D97-9526-96C91D292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714952"/>
        <c:axId val="101717000"/>
      </c:barChart>
      <c:catAx>
        <c:axId val="10171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7000"/>
        <c:crosses val="autoZero"/>
        <c:auto val="1"/>
        <c:lblAlgn val="ctr"/>
        <c:lblOffset val="100"/>
        <c:noMultiLvlLbl val="0"/>
      </c:catAx>
      <c:valAx>
        <c:axId val="10171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7E6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 Margin Trend</a:t>
            </a:r>
          </a:p>
        </c:rich>
      </c:tx>
      <c:layout>
        <c:manualLayout>
          <c:xMode val="edge"/>
          <c:yMode val="edge"/>
          <c:x val="0.40324300087489068"/>
          <c:y val="5.2083333333333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Analysis'!$A$7</c:f>
              <c:strCache>
                <c:ptCount val="1"/>
                <c:pt idx="0">
                  <c:v>Gross Profit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'Trend Analysis'!$B$4:$D$4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'Trend Analysis'!$B$7:$D$7</c:f>
              <c:numCache>
                <c:formatCode>0.00%</c:formatCode>
                <c:ptCount val="3"/>
                <c:pt idx="0">
                  <c:v>0.68920085883491022</c:v>
                </c:pt>
                <c:pt idx="1">
                  <c:v>0.69764443827971379</c:v>
                </c:pt>
                <c:pt idx="2">
                  <c:v>0.68823742386165188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FA-4ADB-90B3-BC50B1E8037B}"/>
            </c:ext>
          </c:extLst>
        </c:ser>
        <c:ser>
          <c:idx val="1"/>
          <c:order val="1"/>
          <c:tx>
            <c:strRef>
              <c:f>'Trend Analysis'!$A$8</c:f>
              <c:strCache>
                <c:ptCount val="1"/>
                <c:pt idx="0">
                  <c:v>Operating 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'Trend Analysis'!$B$4:$D$4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'Trend Analysis'!$B$8:$D$8</c:f>
              <c:numCache>
                <c:formatCode>0.00%</c:formatCode>
                <c:ptCount val="3"/>
                <c:pt idx="0">
                  <c:v>0.41772880636104098</c:v>
                </c:pt>
                <c:pt idx="1">
                  <c:v>0.44644299573273716</c:v>
                </c:pt>
                <c:pt idx="2">
                  <c:v>0.45621956240859851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FA-4ADB-90B3-BC50B1E8037B}"/>
            </c:ext>
          </c:extLst>
        </c:ser>
        <c:ser>
          <c:idx val="2"/>
          <c:order val="2"/>
          <c:tx>
            <c:strRef>
              <c:f>'Trend Analysis'!$A$9</c:f>
              <c:strCache>
                <c:ptCount val="1"/>
                <c:pt idx="0">
                  <c:v>Net Profit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'Trend Analysis'!$B$4:$D$4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'Trend Analysis'!$B$9:$D$9</c:f>
              <c:numCache>
                <c:formatCode>0.00%</c:formatCode>
                <c:ptCount val="3"/>
                <c:pt idx="0">
                  <c:v>0.34146237878394642</c:v>
                </c:pt>
                <c:pt idx="1">
                  <c:v>0.35955972944084985</c:v>
                </c:pt>
                <c:pt idx="2">
                  <c:v>0.36146015248967073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FA-4ADB-90B3-BC50B1E80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3072648"/>
        <c:axId val="2033082888"/>
      </c:lineChart>
      <c:catAx>
        <c:axId val="203307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082888"/>
        <c:crosses val="autoZero"/>
        <c:auto val="1"/>
        <c:lblAlgn val="ctr"/>
        <c:lblOffset val="100"/>
        <c:noMultiLvlLbl val="0"/>
      </c:catAx>
      <c:valAx>
        <c:axId val="203308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072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7E6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10</xdr:row>
      <xdr:rowOff>0</xdr:rowOff>
    </xdr:from>
    <xdr:to>
      <xdr:col>6</xdr:col>
      <xdr:colOff>38100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62515-8317-444D-A1B0-E6DDB1BB6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1152525</xdr:colOff>
      <xdr:row>9</xdr:row>
      <xdr:rowOff>171450</xdr:rowOff>
    </xdr:from>
    <xdr:to>
      <xdr:col>14</xdr:col>
      <xdr:colOff>247650</xdr:colOff>
      <xdr:row>24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1B556F-23F8-421C-BBA6-1BADB4049DFA}"/>
            </a:ext>
            <a:ext uri="{147F2762-F138-4A5C-976F-8EAC2B608ADB}">
              <a16:predDERef xmlns:a16="http://schemas.microsoft.com/office/drawing/2014/main" pred="{B2D62515-8317-444D-A1B0-E6DDB1BB6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638175</xdr:colOff>
      <xdr:row>27</xdr:row>
      <xdr:rowOff>0</xdr:rowOff>
    </xdr:from>
    <xdr:to>
      <xdr:col>10</xdr:col>
      <xdr:colOff>28575</xdr:colOff>
      <xdr:row>41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10BC3E-74CD-4829-8BC0-911E673F7878}"/>
            </a:ext>
            <a:ext uri="{147F2762-F138-4A5C-976F-8EAC2B608ADB}">
              <a16:predDERef xmlns:a16="http://schemas.microsoft.com/office/drawing/2014/main" pred="{251B556F-23F8-421C-BBA6-1BADB4049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69454F-4099-403C-BFB7-F361CA644202}" name="Table1" displayName="Table1" ref="A5:D10" totalsRowShown="0" headerRowDxfId="4">
  <autoFilter ref="A5:D10" xr:uid="{A169454F-4099-403C-BFB7-F361CA644202}">
    <filterColumn colId="0" hiddenButton="1"/>
    <filterColumn colId="1" hiddenButton="1"/>
    <filterColumn colId="2" hiddenButton="1"/>
    <filterColumn colId="3" hiddenButton="1"/>
  </autoFilter>
  <tableColumns count="4">
    <tableColumn id="1" xr3:uid="{6F92B419-A36C-40A2-B0AC-147B72585EAF}" name="Year" dataDxfId="3"/>
    <tableColumn id="2" xr3:uid="{6F53335A-1C9C-4C56-9127-FA2120EA02F8}" name="Projected FCF" dataDxfId="2">
      <calculatedColumnFormula>B5*(1+$H$1)</calculatedColumnFormula>
    </tableColumn>
    <tableColumn id="3" xr3:uid="{C8469D42-1999-440C-A01B-A349ABAC6120}" name="Discount Factor" dataDxfId="1"/>
    <tableColumn id="4" xr3:uid="{4AEC1943-9B70-4D65-A889-EE4517273BAA}" name="Present Value" dataDxfId="0">
      <calculatedColumnFormula>B6*C6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58EE7-305C-45A7-A909-233A8837BA20}">
  <dimension ref="A1:H64"/>
  <sheetViews>
    <sheetView workbookViewId="0">
      <selection activeCell="B50" sqref="B50"/>
    </sheetView>
  </sheetViews>
  <sheetFormatPr defaultRowHeight="15"/>
  <cols>
    <col min="1" max="1" width="22.42578125" customWidth="1"/>
    <col min="2" max="2" width="13.28515625" customWidth="1"/>
    <col min="4" max="4" width="17.7109375" customWidth="1"/>
    <col min="5" max="5" width="10.42578125" bestFit="1" customWidth="1"/>
    <col min="7" max="7" width="20.5703125" customWidth="1"/>
    <col min="8" max="8" width="14.42578125" customWidth="1"/>
  </cols>
  <sheetData>
    <row r="1" spans="1:8" ht="23.25">
      <c r="A1" s="25" t="s">
        <v>0</v>
      </c>
      <c r="B1" s="25"/>
      <c r="C1" s="25"/>
      <c r="D1" s="25"/>
      <c r="E1" s="25"/>
      <c r="F1" s="25"/>
      <c r="G1" s="25"/>
      <c r="H1" s="25"/>
    </row>
    <row r="2" spans="1:8">
      <c r="A2" s="7" t="s">
        <v>1</v>
      </c>
    </row>
    <row r="4" spans="1:8" ht="18.75">
      <c r="A4" s="17" t="s">
        <v>2</v>
      </c>
      <c r="C4" s="16"/>
      <c r="D4" s="17" t="s">
        <v>3</v>
      </c>
      <c r="F4" s="16"/>
      <c r="G4" s="17" t="s">
        <v>4</v>
      </c>
    </row>
    <row r="5" spans="1:8" ht="18.75">
      <c r="A5" s="18">
        <f>'Trend Analysis'!D5</f>
        <v>281724</v>
      </c>
      <c r="B5" s="16"/>
      <c r="C5" s="16"/>
      <c r="D5" s="18">
        <f>'Trend Analysis'!D6</f>
        <v>101832</v>
      </c>
      <c r="E5" s="16"/>
      <c r="F5" s="16"/>
      <c r="G5" s="19">
        <f>'Trend Analysis'!D8</f>
        <v>0.45621956240859851</v>
      </c>
      <c r="H5" s="16"/>
    </row>
    <row r="6" spans="1:8" ht="18.75">
      <c r="A6" s="16"/>
      <c r="B6" s="16"/>
      <c r="C6" s="16"/>
      <c r="D6" s="16"/>
      <c r="E6" s="16"/>
      <c r="F6" s="16"/>
      <c r="G6" s="16"/>
      <c r="H6" s="16"/>
    </row>
    <row r="7" spans="1:8" ht="18.75">
      <c r="A7" s="17" t="s">
        <v>5</v>
      </c>
      <c r="C7" s="16"/>
      <c r="D7" s="17" t="s">
        <v>6</v>
      </c>
      <c r="F7" s="16"/>
      <c r="G7" s="17" t="s">
        <v>7</v>
      </c>
    </row>
    <row r="8" spans="1:8" ht="18.75">
      <c r="A8" s="19">
        <f>'Trend Analysis'!D9</f>
        <v>0.36146015248967073</v>
      </c>
      <c r="D8" s="18">
        <f>'Trend Analysis'!D10</f>
        <v>43151</v>
      </c>
      <c r="G8" s="18">
        <f>'Trend Analysis'!D12</f>
        <v>71611</v>
      </c>
    </row>
    <row r="44" spans="1:7" ht="23.25">
      <c r="A44" s="15" t="s">
        <v>8</v>
      </c>
    </row>
    <row r="46" spans="1:7" ht="18.75">
      <c r="A46" s="3" t="s">
        <v>9</v>
      </c>
    </row>
    <row r="47" spans="1:7">
      <c r="A47" s="1"/>
    </row>
    <row r="48" spans="1:7">
      <c r="A48" s="20" t="s">
        <v>10</v>
      </c>
      <c r="B48" s="20"/>
      <c r="C48" s="20"/>
      <c r="D48" s="20"/>
      <c r="E48" s="20"/>
      <c r="F48" s="20"/>
      <c r="G48" s="20"/>
    </row>
    <row r="50" spans="1:1" ht="18.75">
      <c r="A50" s="3" t="s">
        <v>11</v>
      </c>
    </row>
    <row r="51" spans="1:1">
      <c r="A51" s="1"/>
    </row>
    <row r="52" spans="1:1">
      <c r="A52" t="s">
        <v>12</v>
      </c>
    </row>
    <row r="54" spans="1:1" ht="18.75">
      <c r="A54" s="3" t="s">
        <v>13</v>
      </c>
    </row>
    <row r="55" spans="1:1">
      <c r="A55" s="1"/>
    </row>
    <row r="56" spans="1:1">
      <c r="A56" t="s">
        <v>14</v>
      </c>
    </row>
    <row r="58" spans="1:1" ht="18.75">
      <c r="A58" s="3" t="s">
        <v>15</v>
      </c>
    </row>
    <row r="59" spans="1:1">
      <c r="A59" s="1"/>
    </row>
    <row r="60" spans="1:1">
      <c r="A60" t="s">
        <v>16</v>
      </c>
    </row>
    <row r="62" spans="1:1" ht="18.75">
      <c r="A62" s="3" t="s">
        <v>17</v>
      </c>
    </row>
    <row r="63" spans="1:1">
      <c r="A63" s="1"/>
    </row>
    <row r="64" spans="1:1">
      <c r="A64" t="s">
        <v>18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FB452-F57E-4CA9-87CC-A34DDE2A23C4}">
  <dimension ref="A1:D12"/>
  <sheetViews>
    <sheetView workbookViewId="0">
      <selection activeCell="C7" sqref="C7"/>
    </sheetView>
  </sheetViews>
  <sheetFormatPr defaultRowHeight="15"/>
  <cols>
    <col min="1" max="1" width="22" customWidth="1"/>
  </cols>
  <sheetData>
    <row r="1" spans="1:4" ht="18.75">
      <c r="A1" s="3" t="s">
        <v>19</v>
      </c>
    </row>
    <row r="2" spans="1:4">
      <c r="A2" s="7" t="s">
        <v>20</v>
      </c>
    </row>
    <row r="3" spans="1:4">
      <c r="A3" s="1"/>
      <c r="B3" s="1"/>
      <c r="C3" s="1"/>
      <c r="D3" s="1"/>
    </row>
    <row r="4" spans="1:4">
      <c r="A4" s="1" t="s">
        <v>21</v>
      </c>
      <c r="B4" s="1" t="s">
        <v>22</v>
      </c>
      <c r="C4" s="1" t="s">
        <v>23</v>
      </c>
      <c r="D4" s="1" t="s">
        <v>24</v>
      </c>
    </row>
    <row r="5" spans="1:4">
      <c r="A5" t="s">
        <v>2</v>
      </c>
      <c r="B5" s="2">
        <f>'Income Statement'!B5</f>
        <v>211915</v>
      </c>
      <c r="C5" s="2">
        <f>'Income Statement'!C5</f>
        <v>245122</v>
      </c>
      <c r="D5" s="2">
        <f>'Income Statement'!D5</f>
        <v>281724</v>
      </c>
    </row>
    <row r="6" spans="1:4">
      <c r="A6" t="s">
        <v>3</v>
      </c>
      <c r="B6" s="2">
        <f>'Income Statement'!B14</f>
        <v>72361</v>
      </c>
      <c r="C6" s="2">
        <f>'Income Statement'!C14</f>
        <v>88136</v>
      </c>
      <c r="D6" s="2">
        <f>'Income Statement'!D14</f>
        <v>101832</v>
      </c>
    </row>
    <row r="7" spans="1:4">
      <c r="A7" t="s">
        <v>25</v>
      </c>
      <c r="B7" s="9">
        <f>'Income Statement'!B16</f>
        <v>0.68920085883491022</v>
      </c>
      <c r="C7" s="9">
        <f>'Income Statement'!C16</f>
        <v>0.69764443827971379</v>
      </c>
      <c r="D7" s="9">
        <f>'Income Statement'!D16</f>
        <v>0.68823742386165188</v>
      </c>
    </row>
    <row r="8" spans="1:4">
      <c r="A8" t="s">
        <v>26</v>
      </c>
      <c r="B8" s="9">
        <f>'Income Statement'!B17</f>
        <v>0.41772880636104098</v>
      </c>
      <c r="C8" s="9">
        <f>'Income Statement'!C17</f>
        <v>0.44644299573273716</v>
      </c>
      <c r="D8" s="9">
        <f>'Income Statement'!D17</f>
        <v>0.45621956240859851</v>
      </c>
    </row>
    <row r="9" spans="1:4">
      <c r="A9" t="s">
        <v>5</v>
      </c>
      <c r="B9" s="9">
        <f>'Income Statement'!B18</f>
        <v>0.34146237878394642</v>
      </c>
      <c r="C9" s="9">
        <f>'Income Statement'!C18</f>
        <v>0.35955972944084985</v>
      </c>
      <c r="D9" s="9">
        <f>'Income Statement'!D18</f>
        <v>0.36146015248967073</v>
      </c>
    </row>
    <row r="10" spans="1:4">
      <c r="A10" t="s">
        <v>6</v>
      </c>
      <c r="B10" s="2">
        <f>'Balance Sheet'!B20</f>
        <v>47740</v>
      </c>
      <c r="C10" s="2">
        <f>'Balance Sheet'!C20</f>
        <v>51630</v>
      </c>
      <c r="D10" s="2">
        <f>'Balance Sheet'!D20</f>
        <v>43151</v>
      </c>
    </row>
    <row r="11" spans="1:4">
      <c r="A11" t="s">
        <v>27</v>
      </c>
      <c r="B11" s="2">
        <f>'Cash Flow'!B6</f>
        <v>87582</v>
      </c>
      <c r="C11" s="2">
        <f>'Cash Flow'!C6</f>
        <v>118548</v>
      </c>
      <c r="D11" s="2">
        <f>'Cash Flow'!D6</f>
        <v>136162</v>
      </c>
    </row>
    <row r="12" spans="1:4">
      <c r="A12" t="s">
        <v>7</v>
      </c>
      <c r="B12" s="2">
        <f>'Cash Flow'!B12</f>
        <v>59475</v>
      </c>
      <c r="C12" s="2">
        <f>'Cash Flow'!C12</f>
        <v>74071</v>
      </c>
      <c r="D12" s="2">
        <f>'Cash Flow'!D12</f>
        <v>71611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48C16-D135-4055-986C-7EB87280979F}">
  <dimension ref="A1:F18"/>
  <sheetViews>
    <sheetView workbookViewId="0">
      <selection activeCell="D7" sqref="D7"/>
    </sheetView>
  </sheetViews>
  <sheetFormatPr defaultRowHeight="15"/>
  <cols>
    <col min="1" max="1" width="23.5703125" customWidth="1"/>
    <col min="5" max="5" width="13.28515625" customWidth="1"/>
    <col min="6" max="6" width="13.5703125" customWidth="1"/>
  </cols>
  <sheetData>
    <row r="1" spans="1:6" ht="18.75">
      <c r="A1" s="8" t="s">
        <v>28</v>
      </c>
      <c r="B1" s="6"/>
      <c r="C1" s="6"/>
      <c r="D1" s="6"/>
      <c r="E1" s="6"/>
    </row>
    <row r="2" spans="1:6">
      <c r="A2" s="7" t="s">
        <v>29</v>
      </c>
    </row>
    <row r="4" spans="1:6">
      <c r="A4" s="1" t="s">
        <v>21</v>
      </c>
      <c r="B4" s="1" t="s">
        <v>22</v>
      </c>
      <c r="C4" s="1" t="s">
        <v>23</v>
      </c>
      <c r="D4" s="1" t="s">
        <v>24</v>
      </c>
      <c r="E4" s="1" t="s">
        <v>30</v>
      </c>
      <c r="F4" s="1" t="s">
        <v>31</v>
      </c>
    </row>
    <row r="5" spans="1:6">
      <c r="A5" s="1" t="s">
        <v>2</v>
      </c>
      <c r="B5" s="2">
        <f>'Raw Data'!B5</f>
        <v>211915</v>
      </c>
      <c r="C5" s="2">
        <f>'Raw Data'!C5</f>
        <v>245122</v>
      </c>
      <c r="D5" s="2">
        <f>'Raw Data'!D5</f>
        <v>281724</v>
      </c>
      <c r="E5" s="12">
        <f>(C5-B5)/B5</f>
        <v>0.15669962013071279</v>
      </c>
      <c r="F5" s="12">
        <f>(D5-C5)/C5</f>
        <v>0.14932156232406721</v>
      </c>
    </row>
    <row r="6" spans="1:6">
      <c r="A6" s="1" t="s">
        <v>32</v>
      </c>
      <c r="B6" s="2">
        <f>'Raw Data'!B6</f>
        <v>65863</v>
      </c>
      <c r="C6" s="2">
        <f>'Raw Data'!C6</f>
        <v>74114</v>
      </c>
      <c r="D6" s="2">
        <f>'Raw Data'!D6</f>
        <v>87831</v>
      </c>
      <c r="E6" s="12">
        <f t="shared" ref="E6:E14" si="0">(C6-B6)/B6</f>
        <v>0.12527519244492355</v>
      </c>
      <c r="F6" s="12">
        <f t="shared" ref="F6:F14" si="1">(D6-C6)/C6</f>
        <v>0.18507974201905172</v>
      </c>
    </row>
    <row r="7" spans="1:6">
      <c r="A7" s="1" t="s">
        <v>33</v>
      </c>
      <c r="B7" s="2">
        <f>'Raw Data'!B7</f>
        <v>146052</v>
      </c>
      <c r="C7" s="2">
        <f>'Raw Data'!C7</f>
        <v>171008</v>
      </c>
      <c r="D7" s="2">
        <f>'Raw Data'!D7</f>
        <v>193893</v>
      </c>
      <c r="E7" s="12">
        <f t="shared" si="0"/>
        <v>0.17087064881001288</v>
      </c>
      <c r="F7" s="12">
        <f t="shared" si="1"/>
        <v>0.1338241485778443</v>
      </c>
    </row>
    <row r="8" spans="1:6">
      <c r="A8" s="1" t="s">
        <v>34</v>
      </c>
      <c r="B8" s="2">
        <f>'Raw Data'!B8</f>
        <v>27195</v>
      </c>
      <c r="C8" s="2">
        <f>'Raw Data'!C8</f>
        <v>29510</v>
      </c>
      <c r="D8" s="2">
        <f>'Raw Data'!D8</f>
        <v>32488</v>
      </c>
      <c r="E8" s="12">
        <f t="shared" si="0"/>
        <v>8.5125942268799409E-2</v>
      </c>
      <c r="F8" s="12">
        <f t="shared" si="1"/>
        <v>0.10091494408675025</v>
      </c>
    </row>
    <row r="9" spans="1:6">
      <c r="A9" s="1" t="s">
        <v>35</v>
      </c>
      <c r="B9" s="2">
        <f>'Raw Data'!B9</f>
        <v>22759</v>
      </c>
      <c r="C9" s="2">
        <f>'Raw Data'!C9</f>
        <v>24456</v>
      </c>
      <c r="D9" s="2">
        <f>'Raw Data'!D9</f>
        <v>25654</v>
      </c>
      <c r="E9" s="12">
        <f t="shared" si="0"/>
        <v>7.4563908783338462E-2</v>
      </c>
      <c r="F9" s="12">
        <f t="shared" si="1"/>
        <v>4.8985933922145897E-2</v>
      </c>
    </row>
    <row r="10" spans="1:6">
      <c r="A10" s="1" t="s">
        <v>36</v>
      </c>
      <c r="B10" s="2">
        <f>'Raw Data'!B10</f>
        <v>7575</v>
      </c>
      <c r="C10" s="2">
        <f>'Raw Data'!C10</f>
        <v>7609</v>
      </c>
      <c r="D10" s="2">
        <f>'Raw Data'!D10</f>
        <v>7223</v>
      </c>
      <c r="E10" s="12">
        <f t="shared" si="0"/>
        <v>4.4884488448844887E-3</v>
      </c>
      <c r="F10" s="12">
        <f t="shared" si="1"/>
        <v>-5.0729399395452755E-2</v>
      </c>
    </row>
    <row r="11" spans="1:6">
      <c r="A11" s="1" t="s">
        <v>37</v>
      </c>
      <c r="B11" s="2">
        <f>'Raw Data'!B11</f>
        <v>88523</v>
      </c>
      <c r="C11" s="2">
        <f>'Raw Data'!C11</f>
        <v>109433</v>
      </c>
      <c r="D11" s="2">
        <f>'Raw Data'!D11</f>
        <v>128528</v>
      </c>
      <c r="E11" s="12">
        <f t="shared" si="0"/>
        <v>0.23620979858341901</v>
      </c>
      <c r="F11" s="12">
        <f t="shared" si="1"/>
        <v>0.17449032741494797</v>
      </c>
    </row>
    <row r="12" spans="1:6">
      <c r="A12" s="1" t="s">
        <v>38</v>
      </c>
      <c r="B12" s="2">
        <f>'Raw Data'!B12</f>
        <v>89311</v>
      </c>
      <c r="C12" s="2">
        <f>'Raw Data'!C12</f>
        <v>107787</v>
      </c>
      <c r="D12" s="2">
        <f>'Raw Data'!D12</f>
        <v>123627</v>
      </c>
      <c r="E12" s="12">
        <f t="shared" si="0"/>
        <v>0.206872613675807</v>
      </c>
      <c r="F12" s="12">
        <f t="shared" si="1"/>
        <v>0.1469564975368087</v>
      </c>
    </row>
    <row r="13" spans="1:6">
      <c r="A13" s="1" t="s">
        <v>39</v>
      </c>
      <c r="B13" s="2">
        <f>'Raw Data'!B13</f>
        <v>16950</v>
      </c>
      <c r="C13" s="2">
        <f>'Raw Data'!C13</f>
        <v>19651</v>
      </c>
      <c r="D13" s="2">
        <f>'Raw Data'!D13</f>
        <v>21795</v>
      </c>
      <c r="E13" s="12">
        <f t="shared" si="0"/>
        <v>0.15935103244837759</v>
      </c>
      <c r="F13" s="12">
        <f t="shared" si="1"/>
        <v>0.10910386239886011</v>
      </c>
    </row>
    <row r="14" spans="1:6">
      <c r="A14" s="1" t="s">
        <v>3</v>
      </c>
      <c r="B14" s="2">
        <f>'Raw Data'!B14</f>
        <v>72361</v>
      </c>
      <c r="C14" s="2">
        <f>'Raw Data'!C14</f>
        <v>88136</v>
      </c>
      <c r="D14" s="2">
        <f>'Raw Data'!D14</f>
        <v>101832</v>
      </c>
      <c r="E14" s="12">
        <f t="shared" si="0"/>
        <v>0.21800417351888449</v>
      </c>
      <c r="F14" s="12">
        <f t="shared" si="1"/>
        <v>0.15539620586366523</v>
      </c>
    </row>
    <row r="15" spans="1:6">
      <c r="A15" s="1"/>
      <c r="B15" s="2"/>
      <c r="C15" s="2"/>
      <c r="D15" s="2"/>
      <c r="E15" s="9"/>
      <c r="F15" s="9"/>
    </row>
    <row r="16" spans="1:6">
      <c r="A16" s="1" t="s">
        <v>25</v>
      </c>
      <c r="B16" s="13">
        <f>B7/B5</f>
        <v>0.68920085883491022</v>
      </c>
      <c r="C16" s="13">
        <f>C7/C5</f>
        <v>0.69764443827971379</v>
      </c>
      <c r="D16" s="13">
        <f>D7/D5</f>
        <v>0.68823742386165188</v>
      </c>
    </row>
    <row r="17" spans="1:4">
      <c r="A17" s="1" t="s">
        <v>26</v>
      </c>
      <c r="B17" s="13">
        <f>B11/B5</f>
        <v>0.41772880636104098</v>
      </c>
      <c r="C17" s="13">
        <f t="shared" ref="C17:D17" si="2">C11/C5</f>
        <v>0.44644299573273716</v>
      </c>
      <c r="D17" s="13">
        <f t="shared" si="2"/>
        <v>0.45621956240859851</v>
      </c>
    </row>
    <row r="18" spans="1:4">
      <c r="A18" s="1" t="s">
        <v>5</v>
      </c>
      <c r="B18" s="13">
        <f>B14/B5</f>
        <v>0.34146237878394642</v>
      </c>
      <c r="C18" s="13">
        <f>C14/C5</f>
        <v>0.35955972944084985</v>
      </c>
      <c r="D18" s="13">
        <f>D14/D5</f>
        <v>0.36146015248967073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5135-971A-47DC-9E01-6FEDB1661EB1}">
  <dimension ref="A1:D21"/>
  <sheetViews>
    <sheetView workbookViewId="0">
      <selection activeCell="B5" sqref="B5"/>
    </sheetView>
  </sheetViews>
  <sheetFormatPr defaultRowHeight="15"/>
  <cols>
    <col min="1" max="1" width="24.5703125" customWidth="1"/>
    <col min="2" max="4" width="10.42578125" bestFit="1" customWidth="1"/>
  </cols>
  <sheetData>
    <row r="1" spans="1:4" ht="18.75">
      <c r="A1" s="3" t="s">
        <v>40</v>
      </c>
    </row>
    <row r="2" spans="1:4">
      <c r="A2" s="7" t="s">
        <v>29</v>
      </c>
    </row>
    <row r="4" spans="1:4">
      <c r="A4" s="1" t="s">
        <v>21</v>
      </c>
      <c r="B4" s="1" t="s">
        <v>22</v>
      </c>
      <c r="C4" s="1" t="s">
        <v>23</v>
      </c>
      <c r="D4" s="1" t="s">
        <v>24</v>
      </c>
    </row>
    <row r="5" spans="1:4">
      <c r="A5" t="s">
        <v>41</v>
      </c>
      <c r="B5" s="2">
        <v>34704</v>
      </c>
      <c r="C5" s="2">
        <v>18315</v>
      </c>
      <c r="D5" s="2">
        <v>30242</v>
      </c>
    </row>
    <row r="6" spans="1:4">
      <c r="A6" t="s">
        <v>42</v>
      </c>
      <c r="B6" s="2">
        <v>76558</v>
      </c>
      <c r="C6" s="2">
        <v>57228</v>
      </c>
      <c r="D6" s="2">
        <v>64323</v>
      </c>
    </row>
    <row r="7" spans="1:4">
      <c r="A7" t="s">
        <v>43</v>
      </c>
      <c r="B7" s="2">
        <v>48688</v>
      </c>
      <c r="C7" s="2">
        <v>56924</v>
      </c>
      <c r="D7" s="2">
        <v>69905</v>
      </c>
    </row>
    <row r="8" spans="1:4">
      <c r="A8" t="s">
        <v>44</v>
      </c>
      <c r="B8" s="2">
        <v>2500</v>
      </c>
      <c r="C8" s="2">
        <v>1246</v>
      </c>
      <c r="D8">
        <v>938</v>
      </c>
    </row>
    <row r="9" spans="1:4">
      <c r="A9" t="s">
        <v>45</v>
      </c>
      <c r="B9" s="2">
        <v>21807</v>
      </c>
      <c r="C9" s="2">
        <v>26021</v>
      </c>
      <c r="D9" s="2">
        <v>25723</v>
      </c>
    </row>
    <row r="10" spans="1:4">
      <c r="A10" s="1" t="s">
        <v>46</v>
      </c>
      <c r="B10" s="10">
        <v>184257</v>
      </c>
      <c r="C10" s="10">
        <v>159734</v>
      </c>
      <c r="D10" s="10">
        <v>191131</v>
      </c>
    </row>
    <row r="11" spans="1:4">
      <c r="A11" t="s">
        <v>47</v>
      </c>
      <c r="B11" s="2">
        <v>411976</v>
      </c>
      <c r="C11" s="2">
        <v>512163</v>
      </c>
      <c r="D11" s="2">
        <v>619003</v>
      </c>
    </row>
    <row r="12" spans="1:4">
      <c r="A12" t="s">
        <v>48</v>
      </c>
      <c r="B12" s="2">
        <v>104149</v>
      </c>
      <c r="C12" s="2">
        <v>125286</v>
      </c>
      <c r="D12" s="2">
        <v>141218</v>
      </c>
    </row>
    <row r="13" spans="1:4">
      <c r="A13" t="s">
        <v>49</v>
      </c>
      <c r="B13" s="2">
        <v>205753</v>
      </c>
      <c r="C13" s="2">
        <v>243686</v>
      </c>
      <c r="D13" s="2">
        <v>275524</v>
      </c>
    </row>
    <row r="14" spans="1:4">
      <c r="A14" t="s">
        <v>50</v>
      </c>
      <c r="B14" s="2">
        <v>206223</v>
      </c>
      <c r="C14" s="2">
        <v>268477</v>
      </c>
      <c r="D14" s="2">
        <v>343479</v>
      </c>
    </row>
    <row r="15" spans="1:4">
      <c r="A15" t="s">
        <v>51</v>
      </c>
      <c r="B15" s="2">
        <v>5750</v>
      </c>
      <c r="C15" s="2">
        <v>6693</v>
      </c>
      <c r="D15">
        <v>0</v>
      </c>
    </row>
    <row r="16" spans="1:4">
      <c r="A16" t="s">
        <v>52</v>
      </c>
      <c r="B16">
        <v>0</v>
      </c>
      <c r="C16" s="2">
        <v>2249</v>
      </c>
      <c r="D16" s="2">
        <v>2999</v>
      </c>
    </row>
    <row r="17" spans="1:4">
      <c r="A17" t="s">
        <v>53</v>
      </c>
      <c r="B17" s="2">
        <v>41990</v>
      </c>
      <c r="C17" s="2">
        <v>42688</v>
      </c>
      <c r="D17" s="2">
        <v>40152</v>
      </c>
    </row>
    <row r="19" spans="1:4">
      <c r="A19" s="1" t="s">
        <v>54</v>
      </c>
      <c r="B19" s="11">
        <f>B10/B12</f>
        <v>1.7691672507657299</v>
      </c>
      <c r="C19" s="11">
        <f t="shared" ref="C19:D19" si="0">C10/C12</f>
        <v>1.2749549031815206</v>
      </c>
      <c r="D19" s="11">
        <f t="shared" si="0"/>
        <v>1.3534464445042416</v>
      </c>
    </row>
    <row r="20" spans="1:4">
      <c r="A20" s="1" t="s">
        <v>6</v>
      </c>
      <c r="B20" s="2">
        <f>SUM(B15:B17)</f>
        <v>47740</v>
      </c>
      <c r="C20" s="2">
        <f t="shared" ref="C20:D20" si="1">SUM(C15:C17)</f>
        <v>51630</v>
      </c>
      <c r="D20" s="2">
        <f t="shared" si="1"/>
        <v>43151</v>
      </c>
    </row>
    <row r="21" spans="1:4">
      <c r="A21" s="1" t="s">
        <v>55</v>
      </c>
      <c r="B21" s="11">
        <f>B20/B14</f>
        <v>0.23149697172478337</v>
      </c>
      <c r="C21" s="11">
        <f t="shared" ref="C21:D21" si="2">C20/C14</f>
        <v>0.19230697601656752</v>
      </c>
      <c r="D21" s="11">
        <f t="shared" si="2"/>
        <v>0.12562922332951942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1E00-F4AB-47ED-8191-6C5EC5DFC3C2}">
  <dimension ref="A1:D16"/>
  <sheetViews>
    <sheetView workbookViewId="0">
      <selection activeCell="F13" sqref="F13"/>
    </sheetView>
  </sheetViews>
  <sheetFormatPr defaultRowHeight="15"/>
  <cols>
    <col min="1" max="1" width="33.140625" customWidth="1"/>
    <col min="2" max="2" width="13.28515625" customWidth="1"/>
    <col min="3" max="3" width="12.85546875" customWidth="1"/>
    <col min="4" max="4" width="11.28515625" customWidth="1"/>
  </cols>
  <sheetData>
    <row r="1" spans="1:4" ht="18.75">
      <c r="A1" s="3" t="s">
        <v>56</v>
      </c>
    </row>
    <row r="2" spans="1:4">
      <c r="A2" s="7" t="s">
        <v>29</v>
      </c>
    </row>
    <row r="4" spans="1:4">
      <c r="A4" s="1" t="s">
        <v>21</v>
      </c>
      <c r="B4" s="1" t="s">
        <v>22</v>
      </c>
      <c r="C4" s="1" t="s">
        <v>23</v>
      </c>
      <c r="D4" s="1" t="s">
        <v>24</v>
      </c>
    </row>
    <row r="5" spans="1:4">
      <c r="A5" s="1" t="s">
        <v>3</v>
      </c>
      <c r="B5" s="2">
        <v>72361</v>
      </c>
      <c r="C5" s="2">
        <v>88136</v>
      </c>
      <c r="D5" s="2">
        <v>101832</v>
      </c>
    </row>
    <row r="6" spans="1:4">
      <c r="A6" s="1" t="s">
        <v>57</v>
      </c>
      <c r="B6" s="2">
        <v>87582</v>
      </c>
      <c r="C6" s="2">
        <v>118548</v>
      </c>
      <c r="D6" s="2">
        <v>136162</v>
      </c>
    </row>
    <row r="7" spans="1:4">
      <c r="A7" t="s">
        <v>58</v>
      </c>
      <c r="B7" s="2">
        <v>-28107</v>
      </c>
      <c r="C7" s="2">
        <v>-44477</v>
      </c>
      <c r="D7" s="2">
        <v>-64551</v>
      </c>
    </row>
    <row r="8" spans="1:4">
      <c r="A8" t="s">
        <v>59</v>
      </c>
      <c r="B8" s="2">
        <v>-22680</v>
      </c>
      <c r="C8" s="2">
        <v>-96970</v>
      </c>
      <c r="D8" s="2">
        <v>-72599</v>
      </c>
    </row>
    <row r="9" spans="1:4">
      <c r="A9" t="s">
        <v>60</v>
      </c>
      <c r="B9" s="2">
        <v>-43935</v>
      </c>
      <c r="C9" s="2">
        <v>-37757</v>
      </c>
      <c r="D9" s="2">
        <v>-51699</v>
      </c>
    </row>
    <row r="10" spans="1:4">
      <c r="A10" t="s">
        <v>61</v>
      </c>
      <c r="B10" s="2">
        <v>20773</v>
      </c>
      <c r="C10" s="2">
        <v>-16389</v>
      </c>
      <c r="D10" s="2">
        <v>11927</v>
      </c>
    </row>
    <row r="11" spans="1:4">
      <c r="A11" t="s">
        <v>62</v>
      </c>
      <c r="B11" s="2">
        <v>34704</v>
      </c>
      <c r="C11" s="2">
        <v>18315</v>
      </c>
      <c r="D11" s="2">
        <v>30242</v>
      </c>
    </row>
    <row r="12" spans="1:4">
      <c r="A12" s="1" t="s">
        <v>7</v>
      </c>
      <c r="B12" s="2">
        <f>B6-ABS(B7)</f>
        <v>59475</v>
      </c>
      <c r="C12" s="2">
        <f t="shared" ref="C12:D12" si="0">C6-ABS(C7)</f>
        <v>74071</v>
      </c>
      <c r="D12" s="2">
        <f t="shared" si="0"/>
        <v>71611</v>
      </c>
    </row>
    <row r="14" spans="1:4">
      <c r="A14" s="1" t="s">
        <v>63</v>
      </c>
      <c r="B14" s="12">
        <f>B6/'Income Statement'!B5</f>
        <v>0.4132883467427978</v>
      </c>
      <c r="C14" s="12">
        <f>C6/'Income Statement'!C5</f>
        <v>0.48362856047192826</v>
      </c>
      <c r="D14" s="12">
        <f>D6/'Income Statement'!D5</f>
        <v>0.48331700529596344</v>
      </c>
    </row>
    <row r="15" spans="1:4">
      <c r="A15" s="1" t="s">
        <v>64</v>
      </c>
      <c r="B15" s="12">
        <f>B12/'Income Statement'!B5</f>
        <v>0.28065497959087371</v>
      </c>
      <c r="C15" s="12">
        <f>C12/'Income Statement'!C5</f>
        <v>0.30218013886962408</v>
      </c>
      <c r="D15" s="12">
        <f>D12/'Income Statement'!D5</f>
        <v>0.25418849654271558</v>
      </c>
    </row>
    <row r="16" spans="1:4">
      <c r="A16" s="1" t="s">
        <v>65</v>
      </c>
      <c r="B16" s="14">
        <f>B6/B5</f>
        <v>1.2103481156976825</v>
      </c>
      <c r="C16" s="14">
        <f t="shared" ref="C16:D16" si="1">C6/C5</f>
        <v>1.3450576381955159</v>
      </c>
      <c r="D16" s="14">
        <f t="shared" si="1"/>
        <v>1.3371238903291696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A507-BF78-4BF7-85C4-1BA5D99D72F8}">
  <dimension ref="A1:H31"/>
  <sheetViews>
    <sheetView workbookViewId="0">
      <selection activeCell="E15" sqref="E15"/>
    </sheetView>
  </sheetViews>
  <sheetFormatPr defaultRowHeight="15"/>
  <cols>
    <col min="1" max="1" width="18.7109375" customWidth="1"/>
    <col min="2" max="2" width="15.7109375" customWidth="1"/>
    <col min="3" max="3" width="17.42578125" customWidth="1"/>
    <col min="4" max="4" width="16" customWidth="1"/>
    <col min="7" max="7" width="21.7109375" customWidth="1"/>
  </cols>
  <sheetData>
    <row r="1" spans="1:8" ht="18.75">
      <c r="A1" s="22" t="s">
        <v>66</v>
      </c>
      <c r="G1" s="31" t="s">
        <v>67</v>
      </c>
      <c r="H1" s="32">
        <v>0.08</v>
      </c>
    </row>
    <row r="2" spans="1:8">
      <c r="A2" s="21" t="s">
        <v>68</v>
      </c>
      <c r="G2" s="31" t="s">
        <v>69</v>
      </c>
      <c r="H2" s="32">
        <v>0.1</v>
      </c>
    </row>
    <row r="3" spans="1:8">
      <c r="G3" s="31" t="s">
        <v>70</v>
      </c>
      <c r="H3" s="33">
        <v>2.5000000000000001E-2</v>
      </c>
    </row>
    <row r="5" spans="1:8">
      <c r="A5" s="30" t="s">
        <v>71</v>
      </c>
      <c r="B5" s="30" t="s">
        <v>72</v>
      </c>
      <c r="C5" s="30" t="s">
        <v>73</v>
      </c>
      <c r="D5" s="30" t="s">
        <v>74</v>
      </c>
    </row>
    <row r="6" spans="1:8">
      <c r="A6" s="23" t="s">
        <v>75</v>
      </c>
      <c r="B6" s="24">
        <f>'Cash Flow'!D12*(1+'DCF Valuation'!H1)</f>
        <v>77339.88</v>
      </c>
      <c r="C6" s="11">
        <f>1/(1+$H$2)^1</f>
        <v>0.90909090909090906</v>
      </c>
      <c r="D6" s="24">
        <f>B6*C6</f>
        <v>70308.981818181826</v>
      </c>
    </row>
    <row r="7" spans="1:8">
      <c r="A7" s="23" t="s">
        <v>76</v>
      </c>
      <c r="B7" s="24">
        <f>B6*(1+$H$1)</f>
        <v>83527.070400000011</v>
      </c>
      <c r="C7" s="11">
        <f>1/(1+$H$2)^2</f>
        <v>0.82644628099173545</v>
      </c>
      <c r="D7" s="24">
        <f t="shared" ref="D7:D10" si="0">B7*C7</f>
        <v>69030.636694214874</v>
      </c>
    </row>
    <row r="8" spans="1:8">
      <c r="A8" s="23" t="s">
        <v>77</v>
      </c>
      <c r="B8" s="24">
        <f t="shared" ref="B8:B10" si="1">B7*(1+$H$1)</f>
        <v>90209.236032000015</v>
      </c>
      <c r="C8" s="11">
        <f>1/(1+$H$2)^3</f>
        <v>0.75131480090157754</v>
      </c>
      <c r="D8" s="24">
        <f t="shared" si="0"/>
        <v>67775.534208865502</v>
      </c>
    </row>
    <row r="9" spans="1:8">
      <c r="A9" s="23" t="s">
        <v>78</v>
      </c>
      <c r="B9" s="24">
        <f t="shared" si="1"/>
        <v>97425.974914560022</v>
      </c>
      <c r="C9" s="11">
        <f>1/(1+$H$2)^4</f>
        <v>0.68301345536507052</v>
      </c>
      <c r="D9" s="24">
        <f t="shared" si="0"/>
        <v>66543.251768704315</v>
      </c>
    </row>
    <row r="10" spans="1:8">
      <c r="A10" s="23" t="s">
        <v>79</v>
      </c>
      <c r="B10" s="24">
        <f t="shared" si="1"/>
        <v>105220.05290772484</v>
      </c>
      <c r="C10" s="11">
        <f>1/(1+$H$2)^5</f>
        <v>0.62092132305915493</v>
      </c>
      <c r="D10" s="24">
        <f t="shared" si="0"/>
        <v>65333.374463818785</v>
      </c>
    </row>
    <row r="12" spans="1:8">
      <c r="A12" s="23" t="s">
        <v>80</v>
      </c>
      <c r="B12">
        <f>B10*(1+$H$3)/($H$2-$H$3)</f>
        <v>1438007.3897389059</v>
      </c>
    </row>
    <row r="13" spans="1:8">
      <c r="A13" s="23" t="s">
        <v>81</v>
      </c>
      <c r="B13" s="11">
        <f>B12*C10</f>
        <v>892889.45100552333</v>
      </c>
    </row>
    <row r="15" spans="1:8">
      <c r="A15" s="34" t="s">
        <v>82</v>
      </c>
      <c r="B15" s="35">
        <f>SUM(D6:D10)</f>
        <v>338991.77895378531</v>
      </c>
    </row>
    <row r="16" spans="1:8">
      <c r="A16" s="36" t="s">
        <v>83</v>
      </c>
      <c r="B16" s="37">
        <f>B15+B13</f>
        <v>1231881.2299593086</v>
      </c>
    </row>
    <row r="18" spans="1:1" ht="18.75">
      <c r="A18" s="27" t="s">
        <v>84</v>
      </c>
    </row>
    <row r="19" spans="1:1">
      <c r="A19" s="28" t="s">
        <v>85</v>
      </c>
    </row>
    <row r="20" spans="1:1">
      <c r="A20" s="29" t="s">
        <v>86</v>
      </c>
    </row>
    <row r="21" spans="1:1">
      <c r="A21" s="29" t="s">
        <v>87</v>
      </c>
    </row>
    <row r="22" spans="1:1">
      <c r="A22" s="28" t="s">
        <v>88</v>
      </c>
    </row>
    <row r="23" spans="1:1">
      <c r="A23" s="28"/>
    </row>
    <row r="24" spans="1:1" ht="18.75">
      <c r="A24" s="27" t="s">
        <v>89</v>
      </c>
    </row>
    <row r="25" spans="1:1">
      <c r="A25" s="28" t="s">
        <v>90</v>
      </c>
    </row>
    <row r="26" spans="1:1">
      <c r="A26" s="26" t="s">
        <v>91</v>
      </c>
    </row>
    <row r="27" spans="1:1">
      <c r="A27" s="29" t="s">
        <v>92</v>
      </c>
    </row>
    <row r="28" spans="1:1">
      <c r="A28" s="28" t="s">
        <v>93</v>
      </c>
    </row>
    <row r="29" spans="1:1">
      <c r="A29" s="28" t="s">
        <v>94</v>
      </c>
    </row>
    <row r="30" spans="1:1">
      <c r="A30" t="s">
        <v>95</v>
      </c>
    </row>
    <row r="31" spans="1:1">
      <c r="A31" s="26" t="s">
        <v>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H7" sqref="H7"/>
    </sheetView>
  </sheetViews>
  <sheetFormatPr defaultRowHeight="15"/>
  <cols>
    <col min="1" max="1" width="25" customWidth="1"/>
    <col min="2" max="2" width="12.7109375" customWidth="1"/>
    <col min="3" max="3" width="12.85546875" customWidth="1"/>
    <col min="4" max="4" width="10.7109375" customWidth="1"/>
  </cols>
  <sheetData>
    <row r="1" spans="1:4" ht="18.75">
      <c r="A1" s="3" t="s">
        <v>97</v>
      </c>
    </row>
    <row r="2" spans="1:4" ht="15.75">
      <c r="A2" s="4" t="s">
        <v>29</v>
      </c>
    </row>
    <row r="4" spans="1:4" ht="15.75">
      <c r="A4" s="5" t="s">
        <v>21</v>
      </c>
      <c r="B4" s="5" t="s">
        <v>22</v>
      </c>
      <c r="C4" s="5" t="s">
        <v>23</v>
      </c>
      <c r="D4" s="5" t="s">
        <v>24</v>
      </c>
    </row>
    <row r="5" spans="1:4">
      <c r="A5" s="1" t="s">
        <v>2</v>
      </c>
      <c r="B5" s="2">
        <v>211915</v>
      </c>
      <c r="C5" s="2">
        <v>245122</v>
      </c>
      <c r="D5" s="2">
        <v>281724</v>
      </c>
    </row>
    <row r="6" spans="1:4">
      <c r="A6" s="1" t="s">
        <v>32</v>
      </c>
      <c r="B6" s="2">
        <v>65863</v>
      </c>
      <c r="C6" s="2">
        <v>74114</v>
      </c>
      <c r="D6" s="2">
        <v>87831</v>
      </c>
    </row>
    <row r="7" spans="1:4">
      <c r="A7" s="1" t="s">
        <v>33</v>
      </c>
      <c r="B7" s="2">
        <v>146052</v>
      </c>
      <c r="C7" s="2">
        <v>171008</v>
      </c>
      <c r="D7" s="2">
        <v>193893</v>
      </c>
    </row>
    <row r="8" spans="1:4">
      <c r="A8" s="1" t="s">
        <v>34</v>
      </c>
      <c r="B8" s="2">
        <v>27195</v>
      </c>
      <c r="C8" s="2">
        <v>29510</v>
      </c>
      <c r="D8" s="2">
        <v>32488</v>
      </c>
    </row>
    <row r="9" spans="1:4">
      <c r="A9" s="1" t="s">
        <v>35</v>
      </c>
      <c r="B9" s="2">
        <v>22759</v>
      </c>
      <c r="C9" s="2">
        <v>24456</v>
      </c>
      <c r="D9" s="2">
        <v>25654</v>
      </c>
    </row>
    <row r="10" spans="1:4">
      <c r="A10" s="1" t="s">
        <v>36</v>
      </c>
      <c r="B10" s="2">
        <v>7575</v>
      </c>
      <c r="C10" s="2">
        <v>7609</v>
      </c>
      <c r="D10" s="2">
        <v>7223</v>
      </c>
    </row>
    <row r="11" spans="1:4">
      <c r="A11" s="1" t="s">
        <v>37</v>
      </c>
      <c r="B11" s="2">
        <v>88523</v>
      </c>
      <c r="C11" s="2">
        <v>109433</v>
      </c>
      <c r="D11" s="2">
        <v>128528</v>
      </c>
    </row>
    <row r="12" spans="1:4">
      <c r="A12" s="1" t="s">
        <v>38</v>
      </c>
      <c r="B12" s="2">
        <v>89311</v>
      </c>
      <c r="C12" s="2">
        <v>107787</v>
      </c>
      <c r="D12" s="2">
        <v>123627</v>
      </c>
    </row>
    <row r="13" spans="1:4">
      <c r="A13" s="1" t="s">
        <v>39</v>
      </c>
      <c r="B13" s="2">
        <v>16950</v>
      </c>
      <c r="C13" s="2">
        <v>19651</v>
      </c>
      <c r="D13" s="2">
        <v>21795</v>
      </c>
    </row>
    <row r="14" spans="1:4">
      <c r="A14" s="1" t="s">
        <v>3</v>
      </c>
      <c r="B14" s="2">
        <v>72361</v>
      </c>
      <c r="C14" s="2">
        <v>88136</v>
      </c>
      <c r="D14" s="2">
        <v>101832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2026-08-23T07:35:53Z</dcterms:created>
  <dcterms:modified xsi:type="dcterms:W3CDTF">2026-09-01T03:15:30Z</dcterms:modified>
  <cp:category/>
  <cp:contentStatus/>
</cp:coreProperties>
</file>